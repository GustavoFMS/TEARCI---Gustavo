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Área de Trabalho\"/>
    </mc:Choice>
  </mc:AlternateContent>
  <xr:revisionPtr revIDLastSave="0" documentId="13_ncr:1_{C9692533-3771-4026-8EAB-CDDCA1D8B69F}" xr6:coauthVersionLast="47" xr6:coauthVersionMax="47" xr10:uidLastSave="{00000000-0000-0000-0000-000000000000}"/>
  <bookViews>
    <workbookView xWindow="-120" yWindow="-120" windowWidth="29040" windowHeight="15720" activeTab="1" xr2:uid="{CD1D33A9-6797-4A4B-9685-8625D664875A}"/>
  </bookViews>
  <sheets>
    <sheet name="Garras_BD" sheetId="1" r:id="rId1"/>
    <sheet name="Suportes_B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20" i="3"/>
  <c r="B18" i="3"/>
  <c r="B12" i="3"/>
  <c r="B11" i="3"/>
  <c r="B10" i="3"/>
  <c r="B4" i="3"/>
  <c r="B5" i="3"/>
  <c r="B3" i="3"/>
  <c r="B21" i="1"/>
  <c r="C21" i="1" s="1"/>
  <c r="B20" i="1"/>
  <c r="C20" i="1" s="1"/>
  <c r="B19" i="1"/>
  <c r="C19" i="1" s="1"/>
  <c r="B13" i="1"/>
  <c r="C13" i="1" s="1"/>
  <c r="B12" i="1"/>
  <c r="C12" i="1" s="1"/>
  <c r="B11" i="1"/>
  <c r="C11" i="1" s="1"/>
  <c r="B3" i="1"/>
  <c r="C3" i="1" s="1"/>
  <c r="B5" i="1"/>
  <c r="C5" i="1" s="1"/>
  <c r="B4" i="1"/>
  <c r="C4" i="1" s="1"/>
</calcChain>
</file>

<file path=xl/sharedStrings.xml><?xml version="1.0" encoding="utf-8"?>
<sst xmlns="http://schemas.openxmlformats.org/spreadsheetml/2006/main" count="74" uniqueCount="32">
  <si>
    <t>Prós</t>
  </si>
  <si>
    <t>Contras</t>
  </si>
  <si>
    <t>Mais tempo de ciclo pois pega apenas uma peça por vez.</t>
  </si>
  <si>
    <t>Realiza mais movimentos para fazer o pick-and-place.</t>
  </si>
  <si>
    <t>Pouca estabilidade, pode girar ou inclinar o suporte em movimentos rápido.</t>
  </si>
  <si>
    <t>Realiza menos movimentos para fazer o pick-and-place.</t>
  </si>
  <si>
    <t>Velocidade</t>
  </si>
  <si>
    <t>Pode pegar dois suportes e duas peças por vez</t>
  </si>
  <si>
    <t>Redução do tempo de ciclo</t>
  </si>
  <si>
    <t>Tempo de ciclo para uma peça (s)</t>
  </si>
  <si>
    <t>100% à 100mm/s</t>
  </si>
  <si>
    <t>100% à 200mm/s</t>
  </si>
  <si>
    <t>100% à 300mm/s</t>
  </si>
  <si>
    <t>Colidir ao colocar as peças do meio no suporte</t>
  </si>
  <si>
    <t>Tempo de ciclo para duas peças (s)</t>
  </si>
  <si>
    <t>Tempo de ciclo para preencer o suporte (s)</t>
  </si>
  <si>
    <t>Previne  a colisão das duas peças centrais</t>
  </si>
  <si>
    <r>
      <t>Opção mais cara (</t>
    </r>
    <r>
      <rPr>
        <sz val="11"/>
        <color rgb="FFFF0000"/>
        <rFont val="Aptos Narrow"/>
        <family val="2"/>
        <scheme val="minor"/>
      </rPr>
      <t>É necessário comprar dois cilindros compactos de ação dupla</t>
    </r>
    <r>
      <rPr>
        <sz val="11"/>
        <color theme="1"/>
        <rFont val="Aptos Narrow"/>
        <family val="2"/>
        <scheme val="minor"/>
      </rPr>
      <t>)</t>
    </r>
  </si>
  <si>
    <t>1X  - VENTOSA</t>
  </si>
  <si>
    <t>2X  - VENTOSA SEM CILINDRO DE AÇÃO DUPLA</t>
  </si>
  <si>
    <t>2X  - VENTOSA COM CILINDRO DE AÇÃO DUPLA</t>
  </si>
  <si>
    <t>Tempo de ciclo para colocar todos os suportes no OUT (s)</t>
  </si>
  <si>
    <t>Tempo de ciclo para um suporte (s)</t>
  </si>
  <si>
    <t>Não precisa ter uma distância especifica entre as peças no tapete</t>
  </si>
  <si>
    <r>
      <t>Não é necessário mexer na maquina de injeção (</t>
    </r>
    <r>
      <rPr>
        <sz val="11"/>
        <color rgb="FFFF0000"/>
        <rFont val="Aptos Narrow"/>
        <family val="2"/>
        <scheme val="minor"/>
      </rPr>
      <t>Robô cartesiano</t>
    </r>
    <r>
      <rPr>
        <sz val="11"/>
        <color theme="1"/>
        <rFont val="Aptos Narrow"/>
        <family val="2"/>
        <scheme val="minor"/>
      </rPr>
      <t>)</t>
    </r>
  </si>
  <si>
    <t>Não necessita de alinhamento e simetria na ventosa para fazer o pick-and-place</t>
  </si>
  <si>
    <r>
      <t>Maior precisão para encaixar as "</t>
    </r>
    <r>
      <rPr>
        <i/>
        <sz val="11"/>
        <color theme="1"/>
        <rFont val="Aptos Narrow"/>
        <family val="2"/>
        <scheme val="minor"/>
      </rPr>
      <t>peças</t>
    </r>
    <r>
      <rPr>
        <sz val="11"/>
        <color theme="1"/>
        <rFont val="Aptos Narrow"/>
        <family val="2"/>
        <scheme val="minor"/>
      </rPr>
      <t>" no suporte</t>
    </r>
  </si>
  <si>
    <t>A precisão para colocar peças irá depender do alinhamento das ventosas.</t>
  </si>
  <si>
    <r>
      <t>Pouca estabilidade, cada ventosa pega um suporte. (</t>
    </r>
    <r>
      <rPr>
        <sz val="11"/>
        <color rgb="FFFF0000"/>
        <rFont val="Aptos Narrow"/>
        <family val="2"/>
        <scheme val="minor"/>
      </rPr>
      <t>Devido a distância das ventosas não será possivel pegar com as duas em um único suporte</t>
    </r>
    <r>
      <rPr>
        <sz val="11"/>
        <color theme="1"/>
        <rFont val="Aptos Narrow"/>
        <family val="2"/>
        <scheme val="minor"/>
      </rPr>
      <t>).</t>
    </r>
  </si>
  <si>
    <t>É necessário garantir a assimetria e o alinhamento para realizar o pick-and-place das peças no suporte.</t>
  </si>
  <si>
    <t>Pouca estabilidade, cada ventosa pega um suporte. (Devido a distância das ventosas não será possivel pegar com as duas em um único suporte).</t>
  </si>
  <si>
    <t>É necessário garantir que a distancia das peças no tapete seja igual a distancia entre as ventosas.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</si>
</sst>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9" fontId="0" fillId="4" borderId="3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center"/>
    </xf>
    <xf numFmtId="9" fontId="0" fillId="4" borderId="0" xfId="0" applyNumberFormat="1" applyFill="1" applyAlignment="1">
      <alignment horizontal="center" vertical="center"/>
    </xf>
    <xf numFmtId="9" fontId="0" fillId="4" borderId="11" xfId="0" applyNumberForma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21" xfId="0" applyFill="1" applyBorder="1" applyAlignment="1">
      <alignment horizontal="left" vertical="center" wrapText="1" indent="1"/>
    </xf>
    <xf numFmtId="0" fontId="0" fillId="4" borderId="12" xfId="0" applyFill="1" applyBorder="1" applyAlignment="1">
      <alignment horizontal="left" vertical="center" wrapText="1" indent="1"/>
    </xf>
    <xf numFmtId="0" fontId="0" fillId="4" borderId="18" xfId="0" applyFill="1" applyBorder="1" applyAlignment="1">
      <alignment horizontal="left" vertical="center" wrapText="1" indent="1"/>
    </xf>
    <xf numFmtId="0" fontId="0" fillId="4" borderId="14" xfId="0" applyFill="1" applyBorder="1" applyAlignment="1">
      <alignment horizontal="left" vertical="center" wrapText="1" indent="1"/>
    </xf>
    <xf numFmtId="0" fontId="0" fillId="4" borderId="11" xfId="0" applyFill="1" applyBorder="1" applyAlignment="1">
      <alignment horizontal="left" vertical="center" wrapText="1" indent="1"/>
    </xf>
    <xf numFmtId="0" fontId="0" fillId="4" borderId="13" xfId="0" applyFill="1" applyBorder="1" applyAlignment="1">
      <alignment horizontal="left" vertical="center" wrapText="1" indent="1"/>
    </xf>
    <xf numFmtId="0" fontId="0" fillId="0" borderId="13" xfId="0" applyBorder="1" applyAlignment="1">
      <alignment horizontal="left" vertical="center" wrapText="1" indent="1"/>
    </xf>
    <xf numFmtId="0" fontId="0" fillId="0" borderId="12" xfId="0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20" xfId="0" applyBorder="1" applyAlignment="1">
      <alignment horizontal="left" vertical="center" wrapText="1" indent="1"/>
    </xf>
    <xf numFmtId="0" fontId="0" fillId="0" borderId="14" xfId="0" applyBorder="1" applyAlignment="1">
      <alignment horizontal="left" vertical="center" wrapText="1" indent="1"/>
    </xf>
    <xf numFmtId="0" fontId="0" fillId="4" borderId="20" xfId="0" applyFill="1" applyBorder="1" applyAlignment="1">
      <alignment horizontal="left" vertical="center" wrapText="1" indent="1"/>
    </xf>
    <xf numFmtId="0" fontId="0" fillId="4" borderId="22" xfId="0" applyFill="1" applyBorder="1" applyAlignment="1">
      <alignment horizontal="left" vertical="center" wrapText="1" indent="1"/>
    </xf>
    <xf numFmtId="0" fontId="0" fillId="0" borderId="18" xfId="0" applyBorder="1" applyAlignment="1">
      <alignment horizontal="left" vertical="center" wrapText="1" indent="1"/>
    </xf>
    <xf numFmtId="0" fontId="0" fillId="0" borderId="10" xfId="0" applyBorder="1" applyAlignment="1">
      <alignment horizontal="left" vertical="center" wrapText="1" indent="1"/>
    </xf>
    <xf numFmtId="0" fontId="0" fillId="4" borderId="20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0" borderId="19" xfId="0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FA55-E263-4640-9D18-22D977AF9C27}">
  <sheetPr>
    <tabColor theme="4" tint="0.39997558519241921"/>
  </sheetPr>
  <dimension ref="A1:L23"/>
  <sheetViews>
    <sheetView workbookViewId="0">
      <selection activeCell="F8" sqref="F8"/>
    </sheetView>
  </sheetViews>
  <sheetFormatPr defaultRowHeight="15" x14ac:dyDescent="0.25"/>
  <cols>
    <col min="1" max="1" width="32.7109375" style="9" bestFit="1" customWidth="1"/>
    <col min="2" max="2" width="34.140625" style="9" bestFit="1" customWidth="1"/>
    <col min="3" max="3" width="41" style="9" customWidth="1"/>
    <col min="4" max="4" width="16.5703125" style="9" customWidth="1"/>
    <col min="5" max="5" width="2.42578125" style="9" customWidth="1"/>
    <col min="6" max="6" width="61.5703125" style="10" customWidth="1"/>
    <col min="7" max="7" width="70.5703125" style="10" customWidth="1"/>
    <col min="8" max="12" width="9.140625" style="11"/>
  </cols>
  <sheetData>
    <row r="1" spans="1:7" ht="19.5" thickBot="1" x14ac:dyDescent="0.35">
      <c r="A1" s="49" t="s">
        <v>18</v>
      </c>
      <c r="B1" s="50"/>
      <c r="C1" s="50"/>
      <c r="D1" s="50"/>
      <c r="E1" s="50"/>
      <c r="F1" s="50"/>
      <c r="G1" s="51"/>
    </row>
    <row r="2" spans="1:7" ht="16.5" thickBot="1" x14ac:dyDescent="0.3">
      <c r="A2" s="1" t="s">
        <v>9</v>
      </c>
      <c r="B2" s="1" t="s">
        <v>14</v>
      </c>
      <c r="C2" s="1" t="s">
        <v>15</v>
      </c>
      <c r="D2" s="1" t="s">
        <v>6</v>
      </c>
      <c r="E2" s="18"/>
      <c r="F2" s="2" t="s">
        <v>0</v>
      </c>
      <c r="G2" s="3" t="s">
        <v>1</v>
      </c>
    </row>
    <row r="3" spans="1:7" ht="30" x14ac:dyDescent="0.25">
      <c r="A3" s="12">
        <v>38.229999999999997</v>
      </c>
      <c r="B3" s="5">
        <f>PRODUCT(A3*2)</f>
        <v>76.459999999999994</v>
      </c>
      <c r="C3" s="5">
        <f>B3*14</f>
        <v>1070.4399999999998</v>
      </c>
      <c r="D3" s="20" t="s">
        <v>10</v>
      </c>
      <c r="E3" s="19"/>
      <c r="F3" s="22" t="s">
        <v>25</v>
      </c>
      <c r="G3" s="26" t="s">
        <v>4</v>
      </c>
    </row>
    <row r="4" spans="1:7" ht="30" x14ac:dyDescent="0.25">
      <c r="A4" s="13">
        <v>17.61</v>
      </c>
      <c r="B4" s="7">
        <f>PRODUCT(A4*2)</f>
        <v>35.22</v>
      </c>
      <c r="C4" s="7">
        <f t="shared" ref="C4" si="0">B4*14</f>
        <v>493.08</v>
      </c>
      <c r="D4" s="21" t="s">
        <v>11</v>
      </c>
      <c r="E4" s="17"/>
      <c r="F4" s="23" t="s">
        <v>23</v>
      </c>
      <c r="G4" s="27" t="s">
        <v>2</v>
      </c>
    </row>
    <row r="5" spans="1:7" ht="30" x14ac:dyDescent="0.25">
      <c r="A5" s="43">
        <v>12.91</v>
      </c>
      <c r="B5" s="46">
        <f>PRODUCT(A5*2)</f>
        <v>25.82</v>
      </c>
      <c r="C5" s="46">
        <f>B5*14</f>
        <v>361.48</v>
      </c>
      <c r="D5" s="37" t="s">
        <v>12</v>
      </c>
      <c r="E5" s="17"/>
      <c r="F5" s="24" t="s">
        <v>24</v>
      </c>
      <c r="G5" s="33" t="s">
        <v>3</v>
      </c>
    </row>
    <row r="6" spans="1:7" ht="15.75" thickBot="1" x14ac:dyDescent="0.3">
      <c r="A6" s="45"/>
      <c r="B6" s="48"/>
      <c r="C6" s="48"/>
      <c r="D6" s="39"/>
      <c r="E6" s="17"/>
      <c r="F6" s="25" t="s">
        <v>26</v>
      </c>
      <c r="G6" s="34"/>
    </row>
    <row r="7" spans="1:7" s="11" customFormat="1" x14ac:dyDescent="0.25">
      <c r="A7" s="9"/>
      <c r="B7" s="9"/>
      <c r="C7" s="9"/>
      <c r="D7" s="9"/>
      <c r="E7" s="9"/>
      <c r="F7" s="10"/>
      <c r="G7" s="10"/>
    </row>
    <row r="8" spans="1:7" s="11" customFormat="1" ht="15.75" thickBot="1" x14ac:dyDescent="0.3">
      <c r="A8" s="9"/>
      <c r="B8" s="9"/>
      <c r="C8" s="9"/>
      <c r="D8" s="9"/>
      <c r="E8" s="9"/>
      <c r="F8" s="10"/>
      <c r="G8" s="10"/>
    </row>
    <row r="9" spans="1:7" s="11" customFormat="1" ht="19.5" thickBot="1" x14ac:dyDescent="0.3">
      <c r="A9" s="52" t="s">
        <v>19</v>
      </c>
      <c r="B9" s="53"/>
      <c r="C9" s="53"/>
      <c r="D9" s="53"/>
      <c r="E9" s="53"/>
      <c r="F9" s="53"/>
      <c r="G9" s="54"/>
    </row>
    <row r="10" spans="1:7" ht="16.5" thickBot="1" x14ac:dyDescent="0.3">
      <c r="A10" s="8" t="s">
        <v>9</v>
      </c>
      <c r="B10" s="8" t="s">
        <v>14</v>
      </c>
      <c r="C10" s="8" t="s">
        <v>15</v>
      </c>
      <c r="D10" s="8" t="s">
        <v>6</v>
      </c>
      <c r="E10" s="18"/>
      <c r="F10" s="2" t="s">
        <v>0</v>
      </c>
      <c r="G10" s="3" t="s">
        <v>1</v>
      </c>
    </row>
    <row r="11" spans="1:7" ht="33" customHeight="1" x14ac:dyDescent="0.25">
      <c r="A11" s="12">
        <v>38.229999999999997</v>
      </c>
      <c r="B11" s="4">
        <f>A11</f>
        <v>38.229999999999997</v>
      </c>
      <c r="C11" s="5">
        <f t="shared" ref="C11:C13" si="1">B11*14</f>
        <v>535.21999999999991</v>
      </c>
      <c r="D11" s="20" t="s">
        <v>10</v>
      </c>
      <c r="E11" s="19"/>
      <c r="F11" s="23" t="s">
        <v>5</v>
      </c>
      <c r="G11" s="28" t="s">
        <v>29</v>
      </c>
    </row>
    <row r="12" spans="1:7" ht="30" x14ac:dyDescent="0.25">
      <c r="A12" s="13">
        <v>17.61</v>
      </c>
      <c r="B12" s="4">
        <f>A12</f>
        <v>17.61</v>
      </c>
      <c r="C12" s="5">
        <f t="shared" si="1"/>
        <v>246.54</v>
      </c>
      <c r="D12" s="21" t="s">
        <v>11</v>
      </c>
      <c r="E12" s="17"/>
      <c r="F12" s="29" t="s">
        <v>8</v>
      </c>
      <c r="G12" s="28" t="s">
        <v>28</v>
      </c>
    </row>
    <row r="13" spans="1:7" x14ac:dyDescent="0.25">
      <c r="A13" s="43">
        <v>12.91</v>
      </c>
      <c r="B13" s="40">
        <f>A13</f>
        <v>12.91</v>
      </c>
      <c r="C13" s="46">
        <f t="shared" si="1"/>
        <v>180.74</v>
      </c>
      <c r="D13" s="37" t="s">
        <v>12</v>
      </c>
      <c r="E13" s="17"/>
      <c r="F13" s="35" t="s">
        <v>7</v>
      </c>
      <c r="G13" s="28" t="s">
        <v>27</v>
      </c>
    </row>
    <row r="14" spans="1:7" ht="15.75" thickBot="1" x14ac:dyDescent="0.3">
      <c r="A14" s="45"/>
      <c r="B14" s="42"/>
      <c r="C14" s="48"/>
      <c r="D14" s="39"/>
      <c r="E14" s="17"/>
      <c r="F14" s="55"/>
      <c r="G14" s="30" t="s">
        <v>13</v>
      </c>
    </row>
    <row r="16" spans="1:7" ht="15.75" thickBot="1" x14ac:dyDescent="0.3"/>
    <row r="17" spans="1:7" s="11" customFormat="1" ht="19.5" thickBot="1" x14ac:dyDescent="0.3">
      <c r="A17" s="52" t="s">
        <v>20</v>
      </c>
      <c r="B17" s="53"/>
      <c r="C17" s="53"/>
      <c r="D17" s="53"/>
      <c r="E17" s="53"/>
      <c r="F17" s="53"/>
      <c r="G17" s="54"/>
    </row>
    <row r="18" spans="1:7" ht="16.5" thickBot="1" x14ac:dyDescent="0.3">
      <c r="A18" s="8" t="s">
        <v>9</v>
      </c>
      <c r="B18" s="8" t="s">
        <v>14</v>
      </c>
      <c r="C18" s="8" t="s">
        <v>15</v>
      </c>
      <c r="D18" s="8" t="s">
        <v>6</v>
      </c>
      <c r="E18" s="18"/>
      <c r="F18" s="2" t="s">
        <v>0</v>
      </c>
      <c r="G18" s="3" t="s">
        <v>1</v>
      </c>
    </row>
    <row r="19" spans="1:7" ht="30" x14ac:dyDescent="0.25">
      <c r="A19" s="12">
        <v>38.229999999999997</v>
      </c>
      <c r="B19" s="4">
        <f>A19</f>
        <v>38.229999999999997</v>
      </c>
      <c r="C19" s="5">
        <f t="shared" ref="C19:C20" si="2">B19*14</f>
        <v>535.21999999999991</v>
      </c>
      <c r="D19" s="20" t="s">
        <v>10</v>
      </c>
      <c r="E19" s="19"/>
      <c r="F19" s="29" t="s">
        <v>16</v>
      </c>
      <c r="G19" s="28" t="s">
        <v>17</v>
      </c>
    </row>
    <row r="20" spans="1:7" ht="30" x14ac:dyDescent="0.25">
      <c r="A20" s="13">
        <v>17.61</v>
      </c>
      <c r="B20" s="4">
        <f t="shared" ref="B20" si="3">A20</f>
        <v>17.61</v>
      </c>
      <c r="C20" s="5">
        <f t="shared" si="2"/>
        <v>246.54</v>
      </c>
      <c r="D20" s="21" t="s">
        <v>11</v>
      </c>
      <c r="E20" s="17"/>
      <c r="F20" s="29" t="s">
        <v>8</v>
      </c>
      <c r="G20" s="28" t="s">
        <v>29</v>
      </c>
    </row>
    <row r="21" spans="1:7" ht="30" x14ac:dyDescent="0.25">
      <c r="A21" s="43">
        <v>12.91</v>
      </c>
      <c r="B21" s="40">
        <f>A21</f>
        <v>12.91</v>
      </c>
      <c r="C21" s="46">
        <f>B21*14</f>
        <v>180.74</v>
      </c>
      <c r="D21" s="37" t="s">
        <v>12</v>
      </c>
      <c r="E21" s="17"/>
      <c r="F21" s="35" t="s">
        <v>5</v>
      </c>
      <c r="G21" s="31" t="s">
        <v>30</v>
      </c>
    </row>
    <row r="22" spans="1:7" ht="30" x14ac:dyDescent="0.25">
      <c r="A22" s="44"/>
      <c r="B22" s="41"/>
      <c r="C22" s="47"/>
      <c r="D22" s="38"/>
      <c r="E22" s="17"/>
      <c r="F22" s="36"/>
      <c r="G22" s="31" t="s">
        <v>31</v>
      </c>
    </row>
    <row r="23" spans="1:7" ht="15.75" thickBot="1" x14ac:dyDescent="0.3">
      <c r="A23" s="45"/>
      <c r="B23" s="42"/>
      <c r="C23" s="48"/>
      <c r="D23" s="39"/>
      <c r="E23" s="17"/>
      <c r="F23" s="32" t="s">
        <v>7</v>
      </c>
      <c r="G23" s="30" t="s">
        <v>27</v>
      </c>
    </row>
  </sheetData>
  <mergeCells count="18">
    <mergeCell ref="A1:G1"/>
    <mergeCell ref="A9:G9"/>
    <mergeCell ref="A17:G17"/>
    <mergeCell ref="A5:A6"/>
    <mergeCell ref="B5:B6"/>
    <mergeCell ref="C5:C6"/>
    <mergeCell ref="F13:F14"/>
    <mergeCell ref="D13:D14"/>
    <mergeCell ref="C13:C14"/>
    <mergeCell ref="B13:B14"/>
    <mergeCell ref="A13:A14"/>
    <mergeCell ref="D5:D6"/>
    <mergeCell ref="G5:G6"/>
    <mergeCell ref="F21:F22"/>
    <mergeCell ref="D21:D23"/>
    <mergeCell ref="B21:B23"/>
    <mergeCell ref="A21:A23"/>
    <mergeCell ref="C21:C23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CF11-882E-4065-AEAB-38B36E5D36C3}">
  <sheetPr>
    <tabColor rgb="FFFFC000"/>
  </sheetPr>
  <dimension ref="A1:AA20"/>
  <sheetViews>
    <sheetView tabSelected="1" workbookViewId="0">
      <selection activeCell="D10" sqref="D10"/>
    </sheetView>
  </sheetViews>
  <sheetFormatPr defaultRowHeight="15" x14ac:dyDescent="0.25"/>
  <cols>
    <col min="1" max="1" width="37.140625" style="9" customWidth="1"/>
    <col min="2" max="2" width="55.140625" style="9" bestFit="1" customWidth="1"/>
    <col min="3" max="3" width="16.85546875" style="9" customWidth="1"/>
    <col min="4" max="27" width="9.140625" style="11"/>
  </cols>
  <sheetData>
    <row r="1" spans="1:3" ht="19.5" thickBot="1" x14ac:dyDescent="0.35">
      <c r="A1" s="49" t="s">
        <v>18</v>
      </c>
      <c r="B1" s="50"/>
      <c r="C1" s="51"/>
    </row>
    <row r="2" spans="1:3" ht="16.5" thickBot="1" x14ac:dyDescent="0.3">
      <c r="A2" s="1" t="s">
        <v>22</v>
      </c>
      <c r="B2" s="1" t="s">
        <v>21</v>
      </c>
      <c r="C2" s="1" t="s">
        <v>6</v>
      </c>
    </row>
    <row r="3" spans="1:3" x14ac:dyDescent="0.25">
      <c r="A3" s="12">
        <v>33.799999999999997</v>
      </c>
      <c r="B3" s="5">
        <f>A3*4</f>
        <v>135.19999999999999</v>
      </c>
      <c r="C3" s="6" t="s">
        <v>10</v>
      </c>
    </row>
    <row r="4" spans="1:3" x14ac:dyDescent="0.25">
      <c r="A4" s="13">
        <v>18.670000000000002</v>
      </c>
      <c r="B4" s="5">
        <f t="shared" ref="B4:B5" si="0">A4*4</f>
        <v>74.680000000000007</v>
      </c>
      <c r="C4" s="7" t="s">
        <v>11</v>
      </c>
    </row>
    <row r="5" spans="1:3" ht="15.75" thickBot="1" x14ac:dyDescent="0.3">
      <c r="A5" s="14">
        <v>13.25</v>
      </c>
      <c r="B5" s="16">
        <f t="shared" si="0"/>
        <v>53</v>
      </c>
      <c r="C5" s="15" t="s">
        <v>12</v>
      </c>
    </row>
    <row r="7" spans="1:3" ht="15.75" thickBot="1" x14ac:dyDescent="0.3"/>
    <row r="8" spans="1:3" ht="19.5" thickBot="1" x14ac:dyDescent="0.3">
      <c r="A8" s="52" t="s">
        <v>19</v>
      </c>
      <c r="B8" s="53"/>
      <c r="C8" s="54"/>
    </row>
    <row r="9" spans="1:3" ht="16.5" thickBot="1" x14ac:dyDescent="0.3">
      <c r="A9" s="1" t="s">
        <v>22</v>
      </c>
      <c r="B9" s="1" t="s">
        <v>15</v>
      </c>
      <c r="C9" s="1" t="s">
        <v>6</v>
      </c>
    </row>
    <row r="10" spans="1:3" x14ac:dyDescent="0.25">
      <c r="A10" s="12">
        <v>33.799999999999997</v>
      </c>
      <c r="B10" s="5">
        <f>A10*4</f>
        <v>135.19999999999999</v>
      </c>
      <c r="C10" s="6" t="s">
        <v>10</v>
      </c>
    </row>
    <row r="11" spans="1:3" x14ac:dyDescent="0.25">
      <c r="A11" s="13">
        <v>18.670000000000002</v>
      </c>
      <c r="B11" s="5">
        <f>A11*4</f>
        <v>74.680000000000007</v>
      </c>
      <c r="C11" s="7" t="s">
        <v>11</v>
      </c>
    </row>
    <row r="12" spans="1:3" x14ac:dyDescent="0.25">
      <c r="A12" s="43">
        <v>13.25</v>
      </c>
      <c r="B12" s="46">
        <f>A12*4</f>
        <v>53</v>
      </c>
      <c r="C12" s="46" t="s">
        <v>12</v>
      </c>
    </row>
    <row r="13" spans="1:3" ht="15.75" thickBot="1" x14ac:dyDescent="0.3">
      <c r="A13" s="45"/>
      <c r="B13" s="48"/>
      <c r="C13" s="48"/>
    </row>
    <row r="15" spans="1:3" ht="15.75" thickBot="1" x14ac:dyDescent="0.3"/>
    <row r="16" spans="1:3" ht="19.5" thickBot="1" x14ac:dyDescent="0.3">
      <c r="A16" s="52" t="s">
        <v>20</v>
      </c>
      <c r="B16" s="53"/>
      <c r="C16" s="54"/>
    </row>
    <row r="17" spans="1:3" ht="16.5" thickBot="1" x14ac:dyDescent="0.3">
      <c r="A17" s="1" t="s">
        <v>22</v>
      </c>
      <c r="B17" s="1" t="s">
        <v>15</v>
      </c>
      <c r="C17" s="1" t="s">
        <v>6</v>
      </c>
    </row>
    <row r="18" spans="1:3" x14ac:dyDescent="0.25">
      <c r="A18" s="12">
        <v>33.799999999999997</v>
      </c>
      <c r="B18" s="5">
        <f>A18*4</f>
        <v>135.19999999999999</v>
      </c>
      <c r="C18" s="6" t="s">
        <v>10</v>
      </c>
    </row>
    <row r="19" spans="1:3" x14ac:dyDescent="0.25">
      <c r="A19" s="13">
        <v>18.670000000000002</v>
      </c>
      <c r="B19" s="5">
        <f t="shared" ref="B19:B20" si="1">A19*4</f>
        <v>74.680000000000007</v>
      </c>
      <c r="C19" s="7" t="s">
        <v>11</v>
      </c>
    </row>
    <row r="20" spans="1:3" ht="15.75" thickBot="1" x14ac:dyDescent="0.3">
      <c r="A20" s="14">
        <v>13.25</v>
      </c>
      <c r="B20" s="16">
        <f t="shared" si="1"/>
        <v>53</v>
      </c>
      <c r="C20" s="15" t="s">
        <v>12</v>
      </c>
    </row>
  </sheetData>
  <mergeCells count="6">
    <mergeCell ref="A16:C16"/>
    <mergeCell ref="A1:C1"/>
    <mergeCell ref="A8:C8"/>
    <mergeCell ref="A12:A13"/>
    <mergeCell ref="B12:B13"/>
    <mergeCell ref="C12:C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Garras_BD</vt:lpstr>
      <vt:lpstr>Suportes_BD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Sousa</dc:creator>
  <cp:lastModifiedBy>Gustavo Sousa</cp:lastModifiedBy>
  <dcterms:created xsi:type="dcterms:W3CDTF">2025-07-20T13:47:59Z</dcterms:created>
  <dcterms:modified xsi:type="dcterms:W3CDTF">2025-07-22T13:06:54Z</dcterms:modified>
</cp:coreProperties>
</file>