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featurePropertyBag/featurePropertyBag.xml" ContentType="application/vnd.ms-excel.featurepropertyba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2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ucas\OneDrive\Documentos\Documentos\Gustavo\Mozangão\Tecnicas de programação\"/>
    </mc:Choice>
  </mc:AlternateContent>
  <xr:revisionPtr revIDLastSave="0" documentId="13_ncr:1_{4EA493D1-3CD0-4C52-ACE3-27E49E97E410}" xr6:coauthVersionLast="47" xr6:coauthVersionMax="47" xr10:uidLastSave="{00000000-0000-0000-0000-000000000000}"/>
  <bookViews>
    <workbookView xWindow="-108" yWindow="-108" windowWidth="23256" windowHeight="12456" tabRatio="500" activeTab="2" xr2:uid="{00000000-000D-0000-FFFF-FFFF00000000}"/>
  </bookViews>
  <sheets>
    <sheet name="funções_base" sheetId="1" r:id="rId1"/>
    <sheet name="Planilha1" sheetId="3" r:id="rId2"/>
    <sheet name="Planilha2" sheetId="4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G6" i="4" l="1"/>
  <c r="F6" i="4"/>
  <c r="E6" i="4"/>
  <c r="H6" i="4" s="1"/>
  <c r="B3" i="4"/>
  <c r="B2" i="4"/>
  <c r="B1" i="4"/>
  <c r="B32" i="1"/>
  <c r="C40" i="1"/>
  <c r="C41" i="1"/>
  <c r="C39" i="1"/>
  <c r="H10" i="3"/>
  <c r="G10" i="3"/>
  <c r="F10" i="3"/>
  <c r="E10" i="3"/>
  <c r="D10" i="3"/>
  <c r="I10" i="3"/>
  <c r="C8" i="3"/>
  <c r="C10" i="3" s="1"/>
  <c r="D8" i="3"/>
  <c r="E8" i="3"/>
  <c r="F8" i="3"/>
  <c r="G8" i="3"/>
  <c r="H8" i="3"/>
  <c r="I8" i="3"/>
  <c r="B8" i="3"/>
  <c r="B10" i="3" s="1"/>
  <c r="C4" i="3"/>
  <c r="E4" i="3"/>
  <c r="F4" i="3"/>
  <c r="C2" i="3"/>
  <c r="D2" i="3"/>
  <c r="D4" i="3" s="1"/>
  <c r="E2" i="3"/>
  <c r="F2" i="3"/>
  <c r="G2" i="3"/>
  <c r="G4" i="3" s="1"/>
  <c r="H2" i="3"/>
  <c r="H4" i="3" s="1"/>
  <c r="I2" i="3"/>
  <c r="I4" i="3" s="1"/>
  <c r="B2" i="3"/>
  <c r="B4" i="3" s="1"/>
  <c r="E43" i="1"/>
  <c r="G25" i="1"/>
  <c r="G26" i="1"/>
  <c r="G27" i="1"/>
  <c r="G28" i="1"/>
  <c r="G29" i="1"/>
  <c r="G30" i="1"/>
  <c r="G50" i="1"/>
  <c r="G51" i="1"/>
  <c r="G52" i="1"/>
  <c r="G53" i="1"/>
  <c r="G54" i="1"/>
  <c r="G49" i="1"/>
  <c r="F50" i="1"/>
  <c r="F51" i="1"/>
  <c r="F52" i="1"/>
  <c r="F53" i="1"/>
  <c r="F54" i="1"/>
  <c r="F49" i="1"/>
  <c r="C54" i="1"/>
  <c r="C53" i="1"/>
  <c r="C52" i="1"/>
  <c r="C51" i="1"/>
  <c r="C50" i="1"/>
  <c r="C49" i="1"/>
  <c r="D40" i="1"/>
  <c r="D41" i="1"/>
  <c r="D39" i="1"/>
  <c r="C25" i="1"/>
  <c r="C26" i="1"/>
  <c r="C27" i="1"/>
  <c r="C28" i="1"/>
  <c r="C29" i="1"/>
  <c r="C30" i="1"/>
  <c r="F26" i="1"/>
  <c r="F27" i="1"/>
  <c r="F28" i="1"/>
  <c r="F29" i="1"/>
  <c r="F30" i="1"/>
  <c r="F25" i="1"/>
  <c r="E12" i="1"/>
  <c r="E13" i="1"/>
  <c r="E14" i="1"/>
  <c r="E11" i="1"/>
  <c r="F11" i="1" s="1"/>
  <c r="D12" i="1"/>
  <c r="D13" i="1"/>
  <c r="D14" i="1"/>
  <c r="D11" i="1"/>
  <c r="C14" i="1"/>
  <c r="C13" i="1"/>
  <c r="C12" i="1"/>
  <c r="C11" i="1"/>
  <c r="B12" i="1"/>
  <c r="B13" i="1"/>
  <c r="B14" i="1"/>
  <c r="B11" i="1"/>
  <c r="D19" i="1"/>
  <c r="D20" i="1"/>
  <c r="D21" i="1"/>
  <c r="C19" i="1"/>
  <c r="E19" i="1" s="1"/>
  <c r="C20" i="1"/>
  <c r="E20" i="1" s="1"/>
  <c r="C21" i="1"/>
  <c r="E21" i="1" s="1"/>
  <c r="D18" i="1"/>
  <c r="C18" i="1"/>
  <c r="E18" i="1" s="1"/>
  <c r="I6" i="4" l="1"/>
  <c r="B11" i="3"/>
  <c r="I5" i="3"/>
  <c r="F14" i="1"/>
  <c r="F13" i="1"/>
  <c r="F12" i="1"/>
</calcChain>
</file>

<file path=xl/sharedStrings.xml><?xml version="1.0" encoding="utf-8"?>
<sst xmlns="http://schemas.openxmlformats.org/spreadsheetml/2006/main" count="101" uniqueCount="74">
  <si>
    <t>Acidentes Rodoviários</t>
  </si>
  <si>
    <t>Distrito</t>
  </si>
  <si>
    <t>1º trimestre</t>
  </si>
  <si>
    <t>2º trimestre</t>
  </si>
  <si>
    <t>3º trimestre</t>
  </si>
  <si>
    <t>4º trimestre</t>
  </si>
  <si>
    <t>Braga</t>
  </si>
  <si>
    <t>Porto</t>
  </si>
  <si>
    <t>Coimbra</t>
  </si>
  <si>
    <t>Lisboa</t>
  </si>
  <si>
    <t>Estatísticas</t>
  </si>
  <si>
    <t>Mínimo</t>
  </si>
  <si>
    <t>Máximo</t>
  </si>
  <si>
    <t>Média</t>
  </si>
  <si>
    <t>Total</t>
  </si>
  <si>
    <t>% Total</t>
  </si>
  <si>
    <t>Eventos marcantes</t>
  </si>
  <si>
    <t>Acontecimento</t>
  </si>
  <si>
    <t>Data</t>
  </si>
  <si>
    <t>Ano</t>
  </si>
  <si>
    <t>Dia da semana</t>
  </si>
  <si>
    <t>Quantos aniversários se comemoram este ano?</t>
  </si>
  <si>
    <t>Implantação da República PT</t>
  </si>
  <si>
    <t>25 de Abril</t>
  </si>
  <si>
    <t>11 de Setembro</t>
  </si>
  <si>
    <t>Turma Excel (aprovado se média dos testes não for inferior a 9,5)</t>
  </si>
  <si>
    <t>Primeiro nome</t>
  </si>
  <si>
    <t>Último nome</t>
  </si>
  <si>
    <t>Nome completo*</t>
  </si>
  <si>
    <t>Nota teste 1</t>
  </si>
  <si>
    <t>Nota teste2</t>
  </si>
  <si>
    <t>Resultado (aprov/rep)</t>
  </si>
  <si>
    <t>Augusto</t>
  </si>
  <si>
    <t>Oliveira</t>
  </si>
  <si>
    <t>Helena</t>
  </si>
  <si>
    <t>Cunha</t>
  </si>
  <si>
    <t>João Manuel</t>
  </si>
  <si>
    <t>Rosa</t>
  </si>
  <si>
    <t>Luis Manuel</t>
  </si>
  <si>
    <t>Leitão</t>
  </si>
  <si>
    <t>Maria Adelaide</t>
  </si>
  <si>
    <t>Abreu</t>
  </si>
  <si>
    <t>Rita</t>
  </si>
  <si>
    <t>Alves</t>
  </si>
  <si>
    <t>* utilizar o operador "&amp;"</t>
  </si>
  <si>
    <t>Nº de alunos:</t>
  </si>
  <si>
    <t>BragaPizza</t>
  </si>
  <si>
    <t>Tipos de Pizza</t>
  </si>
  <si>
    <t>Diâmetro</t>
  </si>
  <si>
    <t>Perímetro</t>
  </si>
  <si>
    <t>Área</t>
  </si>
  <si>
    <t>Pequena</t>
  </si>
  <si>
    <t>Grande</t>
  </si>
  <si>
    <t>Nota Mód 1 (40hrs)</t>
  </si>
  <si>
    <t>Nota Mód 2 (60 hrs)</t>
  </si>
  <si>
    <t>Média ponderada</t>
  </si>
  <si>
    <t>Pelo mesmo valor é preferível comprar duas médias ou uma grande?</t>
  </si>
  <si>
    <t>Uma data à escolha</t>
  </si>
  <si>
    <t>Turma Electrónica (aprovado se a nota não for inferior a 9,5 a qualquer dos módulos)</t>
  </si>
  <si>
    <t>* utilizar função "concat"</t>
  </si>
  <si>
    <t>*pesos</t>
  </si>
  <si>
    <t>VALOR EM DECIMAL</t>
  </si>
  <si>
    <t>BINARIO</t>
  </si>
  <si>
    <t>EXPOENTE</t>
  </si>
  <si>
    <t>RESULTADO</t>
  </si>
  <si>
    <t>DECIMAL</t>
  </si>
  <si>
    <t>x</t>
  </si>
  <si>
    <t>y</t>
  </si>
  <si>
    <t>Dia da Pascoa</t>
  </si>
  <si>
    <t>a</t>
  </si>
  <si>
    <t>b</t>
  </si>
  <si>
    <t>c</t>
  </si>
  <si>
    <t>d</t>
  </si>
  <si>
    <t>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</si>
</sst>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3" x14ac:knownFonts="1">
    <font>
      <sz val="11"/>
      <color rgb="FF000000"/>
      <name val="Calibri"/>
      <family val="2"/>
      <charset val="1"/>
    </font>
    <font>
      <sz val="11"/>
      <color rgb="FF000000"/>
      <name val="Calibri"/>
      <family val="2"/>
      <charset val="1"/>
    </font>
    <font>
      <sz val="11"/>
      <color rgb="FFFF0000"/>
      <name val="Calibri"/>
      <family val="2"/>
      <charset val="1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21">
    <xf numFmtId="0" fontId="0" fillId="0" borderId="0" xfId="0"/>
    <xf numFmtId="0" fontId="0" fillId="0" borderId="1" xfId="0" applyBorder="1"/>
    <xf numFmtId="0" fontId="0" fillId="0" borderId="1" xfId="0" applyBorder="1" applyAlignment="1">
      <alignment horizontal="center"/>
    </xf>
    <xf numFmtId="0" fontId="0" fillId="0" borderId="1" xfId="0" applyBorder="1" applyAlignment="1">
      <alignment horizontal="center" wrapText="1"/>
    </xf>
    <xf numFmtId="0" fontId="0" fillId="0" borderId="0" xfId="0" applyAlignment="1">
      <alignment horizontal="center"/>
    </xf>
    <xf numFmtId="14" fontId="0" fillId="0" borderId="1" xfId="0" applyNumberFormat="1" applyBorder="1"/>
    <xf numFmtId="0" fontId="0" fillId="0" borderId="0" xfId="0" applyAlignment="1">
      <alignment horizontal="center" wrapText="1"/>
    </xf>
    <xf numFmtId="0" fontId="0" fillId="2" borderId="1" xfId="0" applyFill="1" applyBorder="1" applyAlignment="1">
      <alignment horizontal="center"/>
    </xf>
    <xf numFmtId="0" fontId="0" fillId="2" borderId="1" xfId="0" applyFill="1" applyBorder="1"/>
    <xf numFmtId="9" fontId="0" fillId="2" borderId="1" xfId="1" applyFont="1" applyFill="1" applyBorder="1"/>
    <xf numFmtId="9" fontId="0" fillId="0" borderId="0" xfId="1" applyFont="1"/>
    <xf numFmtId="9" fontId="0" fillId="0" borderId="0" xfId="0" applyNumberFormat="1"/>
    <xf numFmtId="2" fontId="0" fillId="2" borderId="1" xfId="0" applyNumberFormat="1" applyFill="1" applyBorder="1"/>
    <xf numFmtId="2" fontId="0" fillId="0" borderId="0" xfId="0" applyNumberFormat="1"/>
    <xf numFmtId="0" fontId="0" fillId="0" borderId="2" xfId="0" applyBorder="1"/>
    <xf numFmtId="0" fontId="2" fillId="0" borderId="2" xfId="0" applyFont="1" applyBorder="1"/>
    <xf numFmtId="164" fontId="0" fillId="2" borderId="1" xfId="0" applyNumberFormat="1" applyFill="1" applyBorder="1"/>
    <xf numFmtId="0" fontId="0" fillId="0" borderId="0" xfId="0">
      <extLst>
        <ext xmlns:xfpb="http://schemas.microsoft.com/office/spreadsheetml/2022/featurepropertybag" uri="{C7286773-470A-42A8-94C5-96B5CB345126}">
          <xfpb:xfComplement i="0"/>
        </ext>
      </extLst>
    </xf>
    <xf numFmtId="0" fontId="0" fillId="0" borderId="1" xfId="0" applyBorder="1">
      <extLst>
        <ext xmlns:xfpb="http://schemas.microsoft.com/office/spreadsheetml/2022/featurepropertybag" uri="{C7286773-470A-42A8-94C5-96B5CB345126}">
          <xfpb:xfComplement i="0"/>
        </ext>
      </extLst>
    </xf>
    <xf numFmtId="0" fontId="0" fillId="0" borderId="3" xfId="0" applyBorder="1">
      <extLst>
        <ext xmlns:xfpb="http://schemas.microsoft.com/office/spreadsheetml/2022/featurepropertybag" uri="{C7286773-470A-42A8-94C5-96B5CB345126}">
          <xfpb:xfComplement i="0"/>
        </ext>
      </extLst>
    </xf>
    <xf numFmtId="0" fontId="0" fillId="0" borderId="4" xfId="0" applyBorder="1"/>
  </cellXfs>
  <cellStyles count="2">
    <cellStyle name="Normal" xfId="0" builtinId="0"/>
    <cellStyle name="Porcentagem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microsoft.com/office/2022/11/relationships/FeaturePropertyBag" Target="featurePropertyBag/featurePropertyBag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featurePropertyBag/featurePropertyBag.xml><?xml version="1.0" encoding="utf-8"?>
<FeaturePropertyBags xmlns="http://schemas.microsoft.com/office/spreadsheetml/2022/featurepropertybag">
  <bag type="Checkbox"/>
  <bag type="XFControls">
    <bagId k="CellControl">0</bagId>
  </bag>
  <bag type="XFComplement">
    <bagId k="XFControls">1</bagId>
  </bag>
  <bag type="XFComplements" extRef="XFComplementsMapperExtRef">
    <a k="MappedFeaturePropertyBags">
      <bagId>2</bagId>
    </a>
  </bag>
</FeaturePropertyBags>
</file>

<file path=xl/theme/theme1.xml><?xml version="1.0" encoding="utf-8"?>
<a:theme xmlns:a="http://schemas.openxmlformats.org/drawingml/2006/main" name="Tema do Office 2013 -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I57"/>
  <sheetViews>
    <sheetView zoomScale="150" zoomScaleNormal="150" workbookViewId="0">
      <selection activeCell="A35" sqref="A35"/>
    </sheetView>
  </sheetViews>
  <sheetFormatPr defaultColWidth="8.6640625" defaultRowHeight="14.4" x14ac:dyDescent="0.3"/>
  <cols>
    <col min="1" max="1" width="31.88671875" customWidth="1"/>
    <col min="2" max="2" width="10.5546875" customWidth="1"/>
    <col min="3" max="3" width="19.33203125" bestFit="1" customWidth="1"/>
    <col min="4" max="4" width="13.109375" customWidth="1"/>
    <col min="5" max="5" width="18.88671875" bestFit="1" customWidth="1"/>
    <col min="6" max="6" width="14.44140625" customWidth="1"/>
    <col min="7" max="7" width="11.44140625" customWidth="1"/>
  </cols>
  <sheetData>
    <row r="2" spans="1:9" x14ac:dyDescent="0.3">
      <c r="A2" t="s">
        <v>0</v>
      </c>
    </row>
    <row r="3" spans="1:9" ht="26.85" customHeight="1" x14ac:dyDescent="0.3">
      <c r="A3" s="1" t="s">
        <v>1</v>
      </c>
      <c r="B3" s="1" t="s">
        <v>2</v>
      </c>
      <c r="C3" s="1" t="s">
        <v>3</v>
      </c>
      <c r="D3" s="1" t="s">
        <v>4</v>
      </c>
      <c r="E3" s="1" t="s">
        <v>5</v>
      </c>
    </row>
    <row r="4" spans="1:9" ht="26.85" customHeight="1" x14ac:dyDescent="0.3">
      <c r="A4" s="1" t="s">
        <v>6</v>
      </c>
      <c r="B4" s="1">
        <v>500</v>
      </c>
      <c r="C4" s="1">
        <v>250</v>
      </c>
      <c r="D4" s="1">
        <v>320</v>
      </c>
      <c r="E4" s="1">
        <v>440</v>
      </c>
    </row>
    <row r="5" spans="1:9" ht="26.85" customHeight="1" x14ac:dyDescent="0.3">
      <c r="A5" s="1" t="s">
        <v>7</v>
      </c>
      <c r="B5" s="1">
        <v>450</v>
      </c>
      <c r="C5" s="1">
        <v>300</v>
      </c>
      <c r="D5" s="1">
        <v>270</v>
      </c>
      <c r="E5" s="1">
        <v>480</v>
      </c>
    </row>
    <row r="6" spans="1:9" ht="26.85" customHeight="1" x14ac:dyDescent="0.3">
      <c r="A6" s="1" t="s">
        <v>8</v>
      </c>
      <c r="B6" s="1">
        <v>300</v>
      </c>
      <c r="C6" s="1">
        <v>700</v>
      </c>
      <c r="D6" s="1">
        <v>400</v>
      </c>
      <c r="E6" s="1">
        <v>270</v>
      </c>
    </row>
    <row r="7" spans="1:9" ht="26.85" customHeight="1" x14ac:dyDescent="0.3">
      <c r="A7" s="1" t="s">
        <v>9</v>
      </c>
      <c r="B7" s="1">
        <v>700</v>
      </c>
      <c r="C7" s="1">
        <v>500</v>
      </c>
      <c r="D7" s="1">
        <v>450</v>
      </c>
      <c r="E7" s="1">
        <v>800</v>
      </c>
    </row>
    <row r="9" spans="1:9" x14ac:dyDescent="0.3">
      <c r="A9" t="s">
        <v>10</v>
      </c>
    </row>
    <row r="10" spans="1:9" x14ac:dyDescent="0.3">
      <c r="A10" s="1" t="s">
        <v>1</v>
      </c>
      <c r="B10" s="1" t="s">
        <v>11</v>
      </c>
      <c r="C10" s="1" t="s">
        <v>12</v>
      </c>
      <c r="D10" s="1" t="s">
        <v>13</v>
      </c>
      <c r="E10" s="1" t="s">
        <v>14</v>
      </c>
      <c r="F10" s="1" t="s">
        <v>15</v>
      </c>
    </row>
    <row r="11" spans="1:9" x14ac:dyDescent="0.3">
      <c r="A11" s="1" t="s">
        <v>6</v>
      </c>
      <c r="B11" s="12">
        <f>MIN(B4:E4)</f>
        <v>250</v>
      </c>
      <c r="C11" s="12">
        <f>MAX(B4:E4)</f>
        <v>500</v>
      </c>
      <c r="D11" s="12">
        <f>AVERAGE(B4:E4)</f>
        <v>377.5</v>
      </c>
      <c r="E11" s="12">
        <f>SUM(B4:E4)</f>
        <v>1510</v>
      </c>
      <c r="F11" s="9">
        <f>_xlfn.PERCENTOF(E11,SUM($E$11:$E$14))</f>
        <v>0.21178120617110799</v>
      </c>
      <c r="G11" s="10"/>
      <c r="I11" s="10"/>
    </row>
    <row r="12" spans="1:9" x14ac:dyDescent="0.3">
      <c r="A12" s="1" t="s">
        <v>7</v>
      </c>
      <c r="B12" s="12">
        <f t="shared" ref="B12:B14" si="0">MIN(B5:E5)</f>
        <v>270</v>
      </c>
      <c r="C12" s="12">
        <f t="shared" ref="C12:C14" si="1">MAX(B5:E5)</f>
        <v>480</v>
      </c>
      <c r="D12" s="12">
        <f t="shared" ref="D12:D14" si="2">AVERAGE(B5:E5)</f>
        <v>375</v>
      </c>
      <c r="E12" s="12">
        <f t="shared" ref="E12:E14" si="3">SUM(B5:E5)</f>
        <v>1500</v>
      </c>
      <c r="F12" s="9">
        <f>_xlfn.PERCENTOF(E12,SUM($E$11:$E$14))</f>
        <v>0.21037868162692847</v>
      </c>
      <c r="I12" s="10"/>
    </row>
    <row r="13" spans="1:9" x14ac:dyDescent="0.3">
      <c r="A13" s="1" t="s">
        <v>8</v>
      </c>
      <c r="B13" s="12">
        <f t="shared" si="0"/>
        <v>270</v>
      </c>
      <c r="C13" s="12">
        <f t="shared" si="1"/>
        <v>700</v>
      </c>
      <c r="D13" s="12">
        <f t="shared" si="2"/>
        <v>417.5</v>
      </c>
      <c r="E13" s="12">
        <f t="shared" si="3"/>
        <v>1670</v>
      </c>
      <c r="F13" s="9">
        <f>_xlfn.PERCENTOF(E13,SUM($E$11:$E$14))</f>
        <v>0.23422159887798036</v>
      </c>
      <c r="I13" s="10"/>
    </row>
    <row r="14" spans="1:9" x14ac:dyDescent="0.3">
      <c r="A14" s="1" t="s">
        <v>9</v>
      </c>
      <c r="B14" s="12">
        <f t="shared" si="0"/>
        <v>450</v>
      </c>
      <c r="C14" s="12">
        <f t="shared" si="1"/>
        <v>800</v>
      </c>
      <c r="D14" s="12">
        <f t="shared" si="2"/>
        <v>612.5</v>
      </c>
      <c r="E14" s="12">
        <f t="shared" si="3"/>
        <v>2450</v>
      </c>
      <c r="F14" s="9">
        <f>_xlfn.PERCENTOF(E14,SUM($E$11:$E$14))</f>
        <v>0.34361851332398319</v>
      </c>
      <c r="I14" s="10"/>
    </row>
    <row r="15" spans="1:9" x14ac:dyDescent="0.3">
      <c r="F15" s="11"/>
      <c r="I15" s="10"/>
    </row>
    <row r="16" spans="1:9" x14ac:dyDescent="0.3">
      <c r="A16" t="s">
        <v>16</v>
      </c>
    </row>
    <row r="17" spans="1:7" s="4" customFormat="1" ht="58.95" customHeight="1" x14ac:dyDescent="0.3">
      <c r="A17" s="2" t="s">
        <v>17</v>
      </c>
      <c r="B17" s="2" t="s">
        <v>18</v>
      </c>
      <c r="C17" s="2" t="s">
        <v>19</v>
      </c>
      <c r="D17" s="3" t="s">
        <v>20</v>
      </c>
      <c r="E17" s="3" t="s">
        <v>21</v>
      </c>
    </row>
    <row r="18" spans="1:7" x14ac:dyDescent="0.3">
      <c r="A18" s="1" t="s">
        <v>22</v>
      </c>
      <c r="B18" s="5">
        <v>3931</v>
      </c>
      <c r="C18" s="8">
        <f>YEAR(B18)</f>
        <v>1910</v>
      </c>
      <c r="D18" s="8" t="str">
        <f>TEXT(B18,"dddd")</f>
        <v>quarta-feira</v>
      </c>
      <c r="E18" s="8">
        <f ca="1">YEAR(TODAY()) - C18</f>
        <v>115</v>
      </c>
    </row>
    <row r="19" spans="1:7" x14ac:dyDescent="0.3">
      <c r="A19" s="1" t="s">
        <v>23</v>
      </c>
      <c r="B19" s="5">
        <v>27144</v>
      </c>
      <c r="C19" s="8">
        <f t="shared" ref="C19:C21" si="4">YEAR(B19)</f>
        <v>1974</v>
      </c>
      <c r="D19" s="8" t="str">
        <f t="shared" ref="D19:D21" si="5">TEXT(B19,"dddd")</f>
        <v>quinta-feira</v>
      </c>
      <c r="E19" s="8">
        <f t="shared" ref="E19:E21" ca="1" si="6">YEAR(TODAY()) -C19</f>
        <v>51</v>
      </c>
    </row>
    <row r="20" spans="1:7" x14ac:dyDescent="0.3">
      <c r="A20" s="1" t="s">
        <v>24</v>
      </c>
      <c r="B20" s="5">
        <v>37145</v>
      </c>
      <c r="C20" s="8">
        <f t="shared" si="4"/>
        <v>2001</v>
      </c>
      <c r="D20" s="8" t="str">
        <f t="shared" si="5"/>
        <v>terça-feira</v>
      </c>
      <c r="E20" s="8">
        <f t="shared" ca="1" si="6"/>
        <v>24</v>
      </c>
    </row>
    <row r="21" spans="1:7" x14ac:dyDescent="0.3">
      <c r="A21" s="1" t="s">
        <v>57</v>
      </c>
      <c r="B21" s="5">
        <v>3934</v>
      </c>
      <c r="C21" s="8">
        <f t="shared" si="4"/>
        <v>1910</v>
      </c>
      <c r="D21" s="8" t="str">
        <f t="shared" si="5"/>
        <v>sábado</v>
      </c>
      <c r="E21" s="8">
        <f t="shared" ca="1" si="6"/>
        <v>115</v>
      </c>
    </row>
    <row r="23" spans="1:7" x14ac:dyDescent="0.3">
      <c r="A23" t="s">
        <v>25</v>
      </c>
    </row>
    <row r="24" spans="1:7" s="6" customFormat="1" ht="27.75" customHeight="1" x14ac:dyDescent="0.3">
      <c r="A24" s="3" t="s">
        <v>26</v>
      </c>
      <c r="B24" s="3" t="s">
        <v>27</v>
      </c>
      <c r="C24" s="3" t="s">
        <v>28</v>
      </c>
      <c r="D24" s="3" t="s">
        <v>29</v>
      </c>
      <c r="E24" s="3" t="s">
        <v>30</v>
      </c>
      <c r="F24" s="3" t="s">
        <v>13</v>
      </c>
      <c r="G24" s="3" t="s">
        <v>31</v>
      </c>
    </row>
    <row r="25" spans="1:7" x14ac:dyDescent="0.3">
      <c r="A25" s="1" t="s">
        <v>32</v>
      </c>
      <c r="B25" s="1" t="s">
        <v>33</v>
      </c>
      <c r="C25" s="8" t="str">
        <f>A25&amp;" "&amp;B25</f>
        <v>Augusto Oliveira</v>
      </c>
      <c r="D25" s="12">
        <v>12</v>
      </c>
      <c r="E25" s="12">
        <v>13.6</v>
      </c>
      <c r="F25" s="12">
        <f t="shared" ref="F25:F30" si="7">AVERAGE(D25:E25)</f>
        <v>12.8</v>
      </c>
      <c r="G25" s="8" t="str">
        <f>IF(F25&lt;9.5,"Reprovado", "Aprovado")</f>
        <v>Aprovado</v>
      </c>
    </row>
    <row r="26" spans="1:7" x14ac:dyDescent="0.3">
      <c r="A26" s="1" t="s">
        <v>34</v>
      </c>
      <c r="B26" s="1" t="s">
        <v>35</v>
      </c>
      <c r="C26" s="8" t="str">
        <f t="shared" ref="C26:C30" si="8">A26&amp;" "&amp;B26</f>
        <v>Helena Cunha</v>
      </c>
      <c r="D26" s="12">
        <v>14.1</v>
      </c>
      <c r="E26" s="12">
        <v>16</v>
      </c>
      <c r="F26" s="12">
        <f t="shared" si="7"/>
        <v>15.05</v>
      </c>
      <c r="G26" s="8" t="str">
        <f t="shared" ref="G26:G30" si="9">IF(F26&lt;9.5,"Reprovado", "Aprovado")</f>
        <v>Aprovado</v>
      </c>
    </row>
    <row r="27" spans="1:7" x14ac:dyDescent="0.3">
      <c r="A27" s="1" t="s">
        <v>36</v>
      </c>
      <c r="B27" s="1" t="s">
        <v>37</v>
      </c>
      <c r="C27" s="8" t="str">
        <f t="shared" si="8"/>
        <v>João Manuel Rosa</v>
      </c>
      <c r="D27" s="12">
        <v>8.6</v>
      </c>
      <c r="E27" s="12">
        <v>7.4</v>
      </c>
      <c r="F27" s="12">
        <f t="shared" si="7"/>
        <v>8</v>
      </c>
      <c r="G27" s="8" t="str">
        <f t="shared" si="9"/>
        <v>Reprovado</v>
      </c>
    </row>
    <row r="28" spans="1:7" x14ac:dyDescent="0.3">
      <c r="A28" s="1" t="s">
        <v>38</v>
      </c>
      <c r="B28" s="1" t="s">
        <v>39</v>
      </c>
      <c r="C28" s="8" t="str">
        <f t="shared" si="8"/>
        <v>Luis Manuel Leitão</v>
      </c>
      <c r="D28" s="12">
        <v>8.8000000000000007</v>
      </c>
      <c r="E28" s="12">
        <v>10.199999999999999</v>
      </c>
      <c r="F28" s="12">
        <f t="shared" si="7"/>
        <v>9.5</v>
      </c>
      <c r="G28" s="8" t="str">
        <f t="shared" si="9"/>
        <v>Aprovado</v>
      </c>
    </row>
    <row r="29" spans="1:7" x14ac:dyDescent="0.3">
      <c r="A29" s="1" t="s">
        <v>40</v>
      </c>
      <c r="B29" s="1" t="s">
        <v>41</v>
      </c>
      <c r="C29" s="8" t="str">
        <f t="shared" si="8"/>
        <v>Maria Adelaide Abreu</v>
      </c>
      <c r="D29" s="12">
        <v>7.9</v>
      </c>
      <c r="E29" s="12">
        <v>6.5</v>
      </c>
      <c r="F29" s="12">
        <f t="shared" si="7"/>
        <v>7.2</v>
      </c>
      <c r="G29" s="8" t="str">
        <f t="shared" si="9"/>
        <v>Reprovado</v>
      </c>
    </row>
    <row r="30" spans="1:7" x14ac:dyDescent="0.3">
      <c r="A30" s="1" t="s">
        <v>42</v>
      </c>
      <c r="B30" s="1" t="s">
        <v>43</v>
      </c>
      <c r="C30" s="8" t="str">
        <f t="shared" si="8"/>
        <v>Rita Alves</v>
      </c>
      <c r="D30" s="12">
        <v>16</v>
      </c>
      <c r="E30" s="12">
        <v>14</v>
      </c>
      <c r="F30" s="12">
        <f t="shared" si="7"/>
        <v>15</v>
      </c>
      <c r="G30" s="8" t="str">
        <f t="shared" si="9"/>
        <v>Aprovado</v>
      </c>
    </row>
    <row r="31" spans="1:7" x14ac:dyDescent="0.3">
      <c r="A31" t="s">
        <v>44</v>
      </c>
    </row>
    <row r="32" spans="1:7" x14ac:dyDescent="0.3">
      <c r="A32" t="s">
        <v>45</v>
      </c>
      <c r="B32" s="8">
        <f>COUNT(D25:D30)</f>
        <v>6</v>
      </c>
    </row>
    <row r="37" spans="1:7" x14ac:dyDescent="0.3">
      <c r="A37" t="s">
        <v>46</v>
      </c>
    </row>
    <row r="38" spans="1:7" x14ac:dyDescent="0.3">
      <c r="A38" s="1" t="s">
        <v>47</v>
      </c>
      <c r="B38" s="1" t="s">
        <v>48</v>
      </c>
      <c r="C38" s="1" t="s">
        <v>49</v>
      </c>
      <c r="D38" s="1" t="s">
        <v>50</v>
      </c>
    </row>
    <row r="39" spans="1:7" x14ac:dyDescent="0.3">
      <c r="A39" s="1" t="s">
        <v>51</v>
      </c>
      <c r="B39" s="1">
        <v>20</v>
      </c>
      <c r="C39" s="16">
        <f>PI()*B39</f>
        <v>62.831853071795862</v>
      </c>
      <c r="D39" s="16">
        <f>PI()*(B39/2)^2</f>
        <v>314.15926535897933</v>
      </c>
    </row>
    <row r="40" spans="1:7" x14ac:dyDescent="0.3">
      <c r="A40" s="1" t="s">
        <v>13</v>
      </c>
      <c r="B40" s="1">
        <v>35</v>
      </c>
      <c r="C40" s="16">
        <f t="shared" ref="C40:C41" si="10">PI()*B40</f>
        <v>109.95574287564276</v>
      </c>
      <c r="D40" s="16">
        <f t="shared" ref="D40:D41" si="11">PI()*(B40/2)^2</f>
        <v>962.11275016187415</v>
      </c>
    </row>
    <row r="41" spans="1:7" x14ac:dyDescent="0.3">
      <c r="A41" s="1" t="s">
        <v>52</v>
      </c>
      <c r="B41" s="1">
        <v>50</v>
      </c>
      <c r="C41" s="16">
        <f t="shared" si="10"/>
        <v>157.07963267948966</v>
      </c>
      <c r="D41" s="16">
        <f t="shared" si="11"/>
        <v>1963.4954084936207</v>
      </c>
    </row>
    <row r="43" spans="1:7" x14ac:dyDescent="0.3">
      <c r="A43" t="s">
        <v>56</v>
      </c>
      <c r="E43" s="7" t="str">
        <f>IF(D40*2&gt;D41,"Comprar duas médias","Comprar uma grande")</f>
        <v>Comprar uma grande</v>
      </c>
    </row>
    <row r="47" spans="1:7" x14ac:dyDescent="0.3">
      <c r="A47" t="s">
        <v>58</v>
      </c>
    </row>
    <row r="48" spans="1:7" s="6" customFormat="1" ht="35.1" customHeight="1" x14ac:dyDescent="0.3">
      <c r="A48" s="3" t="s">
        <v>26</v>
      </c>
      <c r="B48" s="3" t="s">
        <v>27</v>
      </c>
      <c r="C48" s="3" t="s">
        <v>28</v>
      </c>
      <c r="D48" s="3" t="s">
        <v>53</v>
      </c>
      <c r="E48" s="3" t="s">
        <v>54</v>
      </c>
      <c r="F48" s="3" t="s">
        <v>55</v>
      </c>
      <c r="G48" s="3" t="s">
        <v>31</v>
      </c>
    </row>
    <row r="49" spans="1:7" x14ac:dyDescent="0.3">
      <c r="A49" s="1" t="s">
        <v>32</v>
      </c>
      <c r="B49" s="1" t="s">
        <v>33</v>
      </c>
      <c r="C49" s="8" t="str">
        <f>_xlfn.CONCAT(A49," ",B49)</f>
        <v>Augusto Oliveira</v>
      </c>
      <c r="D49" s="12">
        <v>12</v>
      </c>
      <c r="E49" s="12">
        <v>13.6</v>
      </c>
      <c r="F49" s="12">
        <f>(D49*$D$55+E49*$E$55)/($D$55+$E$55)</f>
        <v>12.96</v>
      </c>
      <c r="G49" s="8" t="str">
        <f>IF(OR(D49&lt;9.5,E49&lt;9.5),"Reprovado","Aprovado")</f>
        <v>Aprovado</v>
      </c>
    </row>
    <row r="50" spans="1:7" x14ac:dyDescent="0.3">
      <c r="A50" s="1" t="s">
        <v>34</v>
      </c>
      <c r="B50" s="1" t="s">
        <v>35</v>
      </c>
      <c r="C50" s="8" t="str">
        <f t="shared" ref="C50:C54" si="12">_xlfn.CONCAT(A50," ",B50)</f>
        <v>Helena Cunha</v>
      </c>
      <c r="D50" s="12">
        <v>14.1</v>
      </c>
      <c r="E50" s="12">
        <v>16</v>
      </c>
      <c r="F50" s="12">
        <f t="shared" ref="F50:F54" si="13">(D50*$D$55+E50*$E$55)/($D$55+$E$55)</f>
        <v>15.24</v>
      </c>
      <c r="G50" s="8" t="str">
        <f t="shared" ref="G50:G54" si="14">IF(OR(D50&lt;9.5,E50&lt;9.5),"Reprovado","Aprovado")</f>
        <v>Aprovado</v>
      </c>
    </row>
    <row r="51" spans="1:7" x14ac:dyDescent="0.3">
      <c r="A51" s="1" t="s">
        <v>36</v>
      </c>
      <c r="B51" s="1" t="s">
        <v>37</v>
      </c>
      <c r="C51" s="8" t="str">
        <f t="shared" si="12"/>
        <v>João Manuel Rosa</v>
      </c>
      <c r="D51" s="12">
        <v>8.6</v>
      </c>
      <c r="E51" s="12">
        <v>7.4</v>
      </c>
      <c r="F51" s="12">
        <f t="shared" si="13"/>
        <v>7.88</v>
      </c>
      <c r="G51" s="8" t="str">
        <f t="shared" si="14"/>
        <v>Reprovado</v>
      </c>
    </row>
    <row r="52" spans="1:7" x14ac:dyDescent="0.3">
      <c r="A52" s="1" t="s">
        <v>38</v>
      </c>
      <c r="B52" s="1" t="s">
        <v>39</v>
      </c>
      <c r="C52" s="8" t="str">
        <f t="shared" si="12"/>
        <v>Luis Manuel Leitão</v>
      </c>
      <c r="D52" s="12">
        <v>8.8000000000000007</v>
      </c>
      <c r="E52" s="12">
        <v>10.199999999999999</v>
      </c>
      <c r="F52" s="12">
        <f t="shared" si="13"/>
        <v>9.64</v>
      </c>
      <c r="G52" s="8" t="str">
        <f t="shared" si="14"/>
        <v>Reprovado</v>
      </c>
    </row>
    <row r="53" spans="1:7" x14ac:dyDescent="0.3">
      <c r="A53" s="1" t="s">
        <v>40</v>
      </c>
      <c r="B53" s="1" t="s">
        <v>41</v>
      </c>
      <c r="C53" s="8" t="str">
        <f t="shared" si="12"/>
        <v>Maria Adelaide Abreu</v>
      </c>
      <c r="D53" s="12">
        <v>7.9</v>
      </c>
      <c r="E53" s="12">
        <v>6.5</v>
      </c>
      <c r="F53" s="12">
        <f t="shared" si="13"/>
        <v>7.06</v>
      </c>
      <c r="G53" s="8" t="str">
        <f t="shared" si="14"/>
        <v>Reprovado</v>
      </c>
    </row>
    <row r="54" spans="1:7" x14ac:dyDescent="0.3">
      <c r="A54" s="1" t="s">
        <v>42</v>
      </c>
      <c r="B54" s="1" t="s">
        <v>43</v>
      </c>
      <c r="C54" s="8" t="str">
        <f t="shared" si="12"/>
        <v>Rita Alves</v>
      </c>
      <c r="D54" s="12">
        <v>16</v>
      </c>
      <c r="E54" s="12">
        <v>14</v>
      </c>
      <c r="F54" s="12">
        <f t="shared" si="13"/>
        <v>14.8</v>
      </c>
      <c r="G54" s="8" t="str">
        <f t="shared" si="14"/>
        <v>Aprovado</v>
      </c>
    </row>
    <row r="55" spans="1:7" x14ac:dyDescent="0.3">
      <c r="A55" s="14" t="s">
        <v>60</v>
      </c>
      <c r="D55" s="13">
        <v>40</v>
      </c>
      <c r="E55" s="13">
        <v>60</v>
      </c>
      <c r="F55" s="13"/>
    </row>
    <row r="56" spans="1:7" x14ac:dyDescent="0.3">
      <c r="A56" s="14" t="s">
        <v>59</v>
      </c>
    </row>
    <row r="57" spans="1:7" x14ac:dyDescent="0.3">
      <c r="A57" s="15"/>
      <c r="B57" s="4"/>
      <c r="C57" s="4"/>
      <c r="D57" s="4"/>
      <c r="E57" s="4"/>
      <c r="F57" s="4"/>
    </row>
  </sheetData>
  <pageMargins left="0.7" right="1.03" top="0.47152777777777799" bottom="0.49236111111111103" header="0.511811023622047" footer="0.511811023622047"/>
  <pageSetup paperSize="9" scale="85" orientation="portrait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FB2E1F-DAA6-4AC3-B124-BA2D1D93C506}">
  <dimension ref="A1:I11"/>
  <sheetViews>
    <sheetView workbookViewId="0">
      <selection activeCell="G19" sqref="G19"/>
    </sheetView>
  </sheetViews>
  <sheetFormatPr defaultRowHeight="14.4" x14ac:dyDescent="0.3"/>
  <cols>
    <col min="1" max="1" width="10.88671875" bestFit="1" customWidth="1"/>
    <col min="8" max="8" width="17.88671875" bestFit="1" customWidth="1"/>
  </cols>
  <sheetData>
    <row r="1" spans="1:9" x14ac:dyDescent="0.3">
      <c r="B1" s="19" t="b">
        <v>0</v>
      </c>
      <c r="C1" s="18" t="b">
        <v>0</v>
      </c>
      <c r="D1" s="18" t="b">
        <v>0</v>
      </c>
      <c r="E1" s="18" t="b">
        <v>0</v>
      </c>
      <c r="F1" s="18" t="b">
        <v>0</v>
      </c>
      <c r="G1" s="18" t="b">
        <v>1</v>
      </c>
      <c r="H1" s="18" t="b">
        <v>1</v>
      </c>
      <c r="I1" s="18" t="b">
        <v>1</v>
      </c>
    </row>
    <row r="2" spans="1:9" x14ac:dyDescent="0.3">
      <c r="A2" s="1" t="s">
        <v>62</v>
      </c>
      <c r="B2" s="8">
        <f>+B1*1</f>
        <v>0</v>
      </c>
      <c r="C2" s="8">
        <f t="shared" ref="C2:I2" si="0">+C1*1</f>
        <v>0</v>
      </c>
      <c r="D2" s="8">
        <f t="shared" si="0"/>
        <v>0</v>
      </c>
      <c r="E2" s="8">
        <f t="shared" si="0"/>
        <v>0</v>
      </c>
      <c r="F2" s="8">
        <f t="shared" si="0"/>
        <v>0</v>
      </c>
      <c r="G2" s="8">
        <f t="shared" si="0"/>
        <v>1</v>
      </c>
      <c r="H2" s="8">
        <f t="shared" si="0"/>
        <v>1</v>
      </c>
      <c r="I2" s="8">
        <f t="shared" si="0"/>
        <v>1</v>
      </c>
    </row>
    <row r="3" spans="1:9" x14ac:dyDescent="0.3">
      <c r="A3" s="1" t="s">
        <v>63</v>
      </c>
      <c r="B3" s="8">
        <v>7</v>
      </c>
      <c r="C3" s="8">
        <v>6</v>
      </c>
      <c r="D3" s="8">
        <v>5</v>
      </c>
      <c r="E3" s="8">
        <v>4</v>
      </c>
      <c r="F3" s="8">
        <v>3</v>
      </c>
      <c r="G3" s="8">
        <v>2</v>
      </c>
      <c r="H3" s="8">
        <v>1</v>
      </c>
      <c r="I3" s="8">
        <v>0</v>
      </c>
    </row>
    <row r="4" spans="1:9" x14ac:dyDescent="0.3">
      <c r="A4" s="1" t="s">
        <v>64</v>
      </c>
      <c r="B4" s="8">
        <f t="shared" ref="B4:H4" si="1">B2*2^B3</f>
        <v>0</v>
      </c>
      <c r="C4" s="8">
        <f t="shared" si="1"/>
        <v>0</v>
      </c>
      <c r="D4" s="8">
        <f t="shared" si="1"/>
        <v>0</v>
      </c>
      <c r="E4" s="8">
        <f t="shared" si="1"/>
        <v>0</v>
      </c>
      <c r="F4" s="8">
        <f t="shared" si="1"/>
        <v>0</v>
      </c>
      <c r="G4" s="8">
        <f t="shared" si="1"/>
        <v>4</v>
      </c>
      <c r="H4" s="8">
        <f t="shared" si="1"/>
        <v>2</v>
      </c>
      <c r="I4" s="8">
        <f>I2*2^I3</f>
        <v>1</v>
      </c>
    </row>
    <row r="5" spans="1:9" x14ac:dyDescent="0.3">
      <c r="H5" s="1" t="s">
        <v>61</v>
      </c>
      <c r="I5" s="8">
        <f>SUM(B4:I4)</f>
        <v>7</v>
      </c>
    </row>
    <row r="7" spans="1:9" x14ac:dyDescent="0.3">
      <c r="B7" s="17" t="b">
        <v>0</v>
      </c>
      <c r="C7" s="17" t="b">
        <v>0</v>
      </c>
      <c r="D7" s="17" t="b">
        <v>0</v>
      </c>
      <c r="E7" s="17" t="b">
        <v>0</v>
      </c>
      <c r="F7" s="17" t="b">
        <v>0</v>
      </c>
      <c r="G7" s="17" t="b">
        <v>1</v>
      </c>
      <c r="H7" s="17" t="b">
        <v>1</v>
      </c>
      <c r="I7" s="17" t="b">
        <v>1</v>
      </c>
    </row>
    <row r="8" spans="1:9" x14ac:dyDescent="0.3">
      <c r="A8" s="1" t="s">
        <v>62</v>
      </c>
      <c r="B8" s="1">
        <f>IF(B7,1,0)</f>
        <v>0</v>
      </c>
      <c r="C8" s="1">
        <f t="shared" ref="C8:I8" si="2">IF(C7,1,0)</f>
        <v>0</v>
      </c>
      <c r="D8" s="1">
        <f t="shared" si="2"/>
        <v>0</v>
      </c>
      <c r="E8" s="1">
        <f t="shared" si="2"/>
        <v>0</v>
      </c>
      <c r="F8" s="1">
        <f t="shared" si="2"/>
        <v>0</v>
      </c>
      <c r="G8" s="1">
        <f t="shared" si="2"/>
        <v>1</v>
      </c>
      <c r="H8" s="1">
        <f t="shared" si="2"/>
        <v>1</v>
      </c>
      <c r="I8" s="1">
        <f t="shared" si="2"/>
        <v>1</v>
      </c>
    </row>
    <row r="9" spans="1:9" x14ac:dyDescent="0.3">
      <c r="A9" s="1" t="s">
        <v>63</v>
      </c>
      <c r="B9" s="1">
        <v>7</v>
      </c>
      <c r="C9" s="1">
        <v>6</v>
      </c>
      <c r="D9" s="1">
        <v>5</v>
      </c>
      <c r="E9" s="1">
        <v>4</v>
      </c>
      <c r="F9" s="1">
        <v>3</v>
      </c>
      <c r="G9" s="1">
        <v>2</v>
      </c>
      <c r="H9" s="1">
        <v>1</v>
      </c>
      <c r="I9" s="1">
        <v>0</v>
      </c>
    </row>
    <row r="10" spans="1:9" x14ac:dyDescent="0.3">
      <c r="A10" s="1" t="s">
        <v>64</v>
      </c>
      <c r="B10" s="1" t="str">
        <f t="shared" ref="B10:H10" si="3">IF(B8=1,POWER(2,B9),"")</f>
        <v/>
      </c>
      <c r="C10" s="1" t="str">
        <f t="shared" si="3"/>
        <v/>
      </c>
      <c r="D10" s="1" t="str">
        <f t="shared" si="3"/>
        <v/>
      </c>
      <c r="E10" s="1" t="str">
        <f t="shared" si="3"/>
        <v/>
      </c>
      <c r="F10" s="1" t="str">
        <f t="shared" si="3"/>
        <v/>
      </c>
      <c r="G10" s="1">
        <f t="shared" si="3"/>
        <v>4</v>
      </c>
      <c r="H10" s="1">
        <f t="shared" si="3"/>
        <v>2</v>
      </c>
      <c r="I10" s="1">
        <f>IF(I8=1,POWER(2,I9),"")</f>
        <v>1</v>
      </c>
    </row>
    <row r="11" spans="1:9" x14ac:dyDescent="0.3">
      <c r="A11" s="20" t="s">
        <v>65</v>
      </c>
      <c r="B11" s="20">
        <f>SUM(B10:I10)</f>
        <v>7</v>
      </c>
    </row>
  </sheetData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B28A14-44D2-45BF-83C4-7D000C83966E}">
  <dimension ref="A1:I6"/>
  <sheetViews>
    <sheetView tabSelected="1" workbookViewId="0">
      <selection sqref="A1:N16"/>
    </sheetView>
  </sheetViews>
  <sheetFormatPr defaultRowHeight="14.4" x14ac:dyDescent="0.3"/>
  <sheetData>
    <row r="1" spans="1:9" x14ac:dyDescent="0.3">
      <c r="A1">
        <v>0</v>
      </c>
      <c r="B1" t="str">
        <f>IF(A1&lt;0,"NEGATIVO", IF(A1=0,"ZERO","POSITIVO"))</f>
        <v>ZERO</v>
      </c>
    </row>
    <row r="2" spans="1:9" x14ac:dyDescent="0.3">
      <c r="A2">
        <v>-2</v>
      </c>
      <c r="B2" t="str">
        <f t="shared" ref="B2:B3" si="0">IF(A2&lt;0,"NEGATIVO", IF(A2=0,"ZERO","POSITIVO"))</f>
        <v>NEGATIVO</v>
      </c>
    </row>
    <row r="3" spans="1:9" x14ac:dyDescent="0.3">
      <c r="A3">
        <v>5</v>
      </c>
      <c r="B3" t="str">
        <f t="shared" si="0"/>
        <v>POSITIVO</v>
      </c>
      <c r="E3" t="s">
        <v>66</v>
      </c>
      <c r="F3" t="s">
        <v>67</v>
      </c>
    </row>
    <row r="4" spans="1:9" x14ac:dyDescent="0.3">
      <c r="E4">
        <v>24</v>
      </c>
      <c r="F4">
        <v>5</v>
      </c>
    </row>
    <row r="5" spans="1:9" x14ac:dyDescent="0.3">
      <c r="A5" t="s">
        <v>19</v>
      </c>
      <c r="B5" t="s">
        <v>68</v>
      </c>
      <c r="E5" t="s">
        <v>69</v>
      </c>
      <c r="F5" t="s">
        <v>70</v>
      </c>
      <c r="G5" t="s">
        <v>71</v>
      </c>
      <c r="H5" t="s">
        <v>72</v>
      </c>
      <c r="I5" t="s">
        <v>73</v>
      </c>
    </row>
    <row r="6" spans="1:9" x14ac:dyDescent="0.3">
      <c r="A6">
        <v>2024</v>
      </c>
      <c r="E6">
        <f>MOD($A$6,19)</f>
        <v>10</v>
      </c>
      <c r="F6">
        <f>MOD($A$6,4)</f>
        <v>0</v>
      </c>
      <c r="G6">
        <f>MOD($A$6,7)</f>
        <v>1</v>
      </c>
      <c r="H6">
        <f>MOD(19 * E6 +E4,30)</f>
        <v>4</v>
      </c>
      <c r="I6">
        <f>MOD((( 2 * F6 ) + ( 4 * G6 ) + ( 6 * H6 ) + F4),7)</f>
        <v>5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386</TotalTime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3</vt:i4>
      </vt:variant>
    </vt:vector>
  </HeadingPairs>
  <TitlesOfParts>
    <vt:vector size="3" baseType="lpstr">
      <vt:lpstr>funções_base</vt:lpstr>
      <vt:lpstr>Planilha1</vt:lpstr>
      <vt:lpstr>Planilha2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Rui Carvalho</dc:creator>
  <dc:description/>
  <cp:lastModifiedBy>Gustavo Sousa</cp:lastModifiedBy>
  <cp:revision>3</cp:revision>
  <cp:lastPrinted>2024-02-27T11:36:17Z</cp:lastPrinted>
  <dcterms:created xsi:type="dcterms:W3CDTF">2019-03-19T17:49:29Z</dcterms:created>
  <dcterms:modified xsi:type="dcterms:W3CDTF">2025-01-09T11:14:18Z</dcterms:modified>
  <dc:language>pt-PT</dc:language>
</cp:coreProperties>
</file>