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lucas\OneDrive\Documentos\Documentos\Gustavo\Mozangão\Tecnicas de programação\"/>
    </mc:Choice>
  </mc:AlternateContent>
  <xr:revisionPtr revIDLastSave="0" documentId="8_{745818A3-1FDA-43B5-AFFA-435B5FBE25D7}" xr6:coauthVersionLast="47" xr6:coauthVersionMax="47" xr10:uidLastSave="{00000000-0000-0000-0000-000000000000}"/>
  <bookViews>
    <workbookView xWindow="-108" yWindow="-108" windowWidth="23256" windowHeight="12456" xr2:uid="{69407CE7-51E0-4EE4-83A7-20441633584F}"/>
  </bookViews>
  <sheets>
    <sheet name="Planilha1" sheetId="1" r:id="rId1"/>
  </sheets>
  <definedNames>
    <definedName name="_xleta.DAY" hidden="1" xlm="1">#NAME?</definedName>
    <definedName name="_xleta.IF" hidden="1" xlm="1">#NAME?</definedName>
    <definedName name="_xleta.MINUTE" hidden="1" xlm="1">#NAME?</definedName>
    <definedName name="_xleta.MOD" hidden="1" xlm="1">#NAME?</definedName>
    <definedName name="_xleta.TO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" i="1" l="1"/>
  <c r="H2" i="1"/>
  <c r="E20" i="1"/>
  <c r="E19" i="1"/>
  <c r="E16" i="1"/>
  <c r="E15" i="1"/>
  <c r="E3" i="1"/>
  <c r="E7" i="1" s="1"/>
  <c r="E2" i="1"/>
  <c r="E4" i="1" s="1"/>
  <c r="B8" i="1"/>
  <c r="B7" i="1"/>
  <c r="B6" i="1"/>
  <c r="B5" i="1"/>
  <c r="B4" i="1"/>
  <c r="B3" i="1"/>
  <c r="E9" i="1" l="1"/>
  <c r="E10" i="1" s="1"/>
  <c r="E8" i="1"/>
  <c r="E6" i="1"/>
  <c r="E5" i="1"/>
  <c r="E11" i="1" l="1"/>
</calcChain>
</file>

<file path=xl/sharedStrings.xml><?xml version="1.0" encoding="utf-8"?>
<sst xmlns="http://schemas.openxmlformats.org/spreadsheetml/2006/main" count="26" uniqueCount="25">
  <si>
    <t>A=B</t>
  </si>
  <si>
    <t>A&lt;&gt;B</t>
  </si>
  <si>
    <t>A&gt;B</t>
  </si>
  <si>
    <t>A&gt;=B</t>
  </si>
  <si>
    <t>A&lt;B</t>
  </si>
  <si>
    <t>A&lt;=B</t>
  </si>
  <si>
    <t>hoje</t>
  </si>
  <si>
    <t>agora</t>
  </si>
  <si>
    <t>dia</t>
  </si>
  <si>
    <t>mês</t>
  </si>
  <si>
    <t>ano</t>
  </si>
  <si>
    <t>hora</t>
  </si>
  <si>
    <t>minuto</t>
  </si>
  <si>
    <t>Funções</t>
  </si>
  <si>
    <t>Resultado</t>
  </si>
  <si>
    <t>dia da semana</t>
  </si>
  <si>
    <t>dia da semana por extenso</t>
  </si>
  <si>
    <t>data</t>
  </si>
  <si>
    <t xml:space="preserve">dividendo </t>
  </si>
  <si>
    <t>divisor</t>
  </si>
  <si>
    <t>quociente</t>
  </si>
  <si>
    <t>resto</t>
  </si>
  <si>
    <t>&amp;</t>
  </si>
  <si>
    <t>bom</t>
  </si>
  <si>
    <t>concat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</si>
</sst>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14" fontId="0" fillId="2" borderId="7" xfId="0" applyNumberFormat="1" applyFill="1" applyBorder="1" applyAlignment="1">
      <alignment horizontal="right"/>
    </xf>
    <xf numFmtId="22" fontId="0" fillId="2" borderId="7" xfId="0" applyNumberFormat="1" applyFill="1" applyBorder="1" applyAlignment="1">
      <alignment horizontal="right"/>
    </xf>
    <xf numFmtId="0" fontId="0" fillId="2" borderId="7" xfId="0" applyFill="1" applyBorder="1" applyAlignment="1">
      <alignment horizontal="right"/>
    </xf>
    <xf numFmtId="0" fontId="0" fillId="2" borderId="7" xfId="0" applyFill="1" applyBorder="1"/>
    <xf numFmtId="14" fontId="0" fillId="2" borderId="8" xfId="0" applyNumberFormat="1" applyFill="1" applyBorder="1"/>
    <xf numFmtId="0" fontId="0" fillId="2" borderId="3" xfId="0" applyFill="1" applyBorder="1" applyAlignment="1">
      <alignment horizontal="left" vertical="center"/>
    </xf>
    <xf numFmtId="0" fontId="0" fillId="2" borderId="4" xfId="0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0" borderId="5" xfId="0" applyBorder="1"/>
    <xf numFmtId="0" fontId="0" fillId="2" borderId="6" xfId="0" applyFill="1" applyBorder="1"/>
    <xf numFmtId="0" fontId="0" fillId="2" borderId="8" xfId="0" applyFill="1" applyBorder="1"/>
    <xf numFmtId="0" fontId="1" fillId="2" borderId="9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2" borderId="9" xfId="0" applyFill="1" applyBorder="1" applyAlignment="1">
      <alignment horizontal="left" vertical="center"/>
    </xf>
    <xf numFmtId="0" fontId="0" fillId="0" borderId="10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AF08C-7EFA-421A-862F-12A064C74AF2}">
  <sheetPr codeName="Planilha1"/>
  <dimension ref="A1:H20"/>
  <sheetViews>
    <sheetView tabSelected="1" workbookViewId="0">
      <selection activeCell="I12" sqref="I12"/>
    </sheetView>
  </sheetViews>
  <sheetFormatPr defaultRowHeight="14.4" x14ac:dyDescent="0.3"/>
  <cols>
    <col min="1" max="2" width="11.6640625" bestFit="1" customWidth="1"/>
    <col min="4" max="4" width="25.44140625" customWidth="1"/>
    <col min="5" max="5" width="25.77734375" customWidth="1"/>
  </cols>
  <sheetData>
    <row r="1" spans="1:8" ht="18.600000000000001" thickBot="1" x14ac:dyDescent="0.4">
      <c r="A1">
        <v>2</v>
      </c>
      <c r="B1">
        <v>2</v>
      </c>
      <c r="D1" s="12" t="s">
        <v>13</v>
      </c>
      <c r="E1" s="13" t="s">
        <v>14</v>
      </c>
      <c r="G1" s="16" t="b">
        <v>0</v>
      </c>
      <c r="H1">
        <f>IF(G1,1,0)</f>
        <v>0</v>
      </c>
    </row>
    <row r="2" spans="1:8" x14ac:dyDescent="0.3">
      <c r="D2" s="6" t="s">
        <v>6</v>
      </c>
      <c r="E2" s="1">
        <f ca="1">TODAY()</f>
        <v>45659</v>
      </c>
      <c r="G2">
        <v>-4</v>
      </c>
      <c r="H2" t="str">
        <f>IF(G2&gt;=0,"positivo","negativo")</f>
        <v>negativo</v>
      </c>
    </row>
    <row r="3" spans="1:8" x14ac:dyDescent="0.3">
      <c r="A3" t="s">
        <v>0</v>
      </c>
      <c r="B3" t="b">
        <f>A1=B1</f>
        <v>1</v>
      </c>
      <c r="D3" s="6" t="s">
        <v>7</v>
      </c>
      <c r="E3" s="2">
        <f ca="1">NOW()</f>
        <v>45659.669432523151</v>
      </c>
    </row>
    <row r="4" spans="1:8" x14ac:dyDescent="0.3">
      <c r="A4" t="s">
        <v>1</v>
      </c>
      <c r="B4" t="b">
        <f>A1&lt;&gt;B1</f>
        <v>0</v>
      </c>
      <c r="D4" s="6" t="s">
        <v>8</v>
      </c>
      <c r="E4" s="3">
        <f ca="1">DAY(E2)</f>
        <v>2</v>
      </c>
    </row>
    <row r="5" spans="1:8" x14ac:dyDescent="0.3">
      <c r="A5" t="s">
        <v>2</v>
      </c>
      <c r="B5" t="b">
        <f>A1&gt;B1</f>
        <v>0</v>
      </c>
      <c r="D5" s="6" t="s">
        <v>9</v>
      </c>
      <c r="E5" s="3">
        <f ca="1">MONTH(E2)</f>
        <v>1</v>
      </c>
    </row>
    <row r="6" spans="1:8" x14ac:dyDescent="0.3">
      <c r="A6" t="s">
        <v>3</v>
      </c>
      <c r="B6" t="b">
        <f>A1&gt;=B1</f>
        <v>1</v>
      </c>
      <c r="D6" s="6" t="s">
        <v>10</v>
      </c>
      <c r="E6" s="3">
        <f ca="1">YEAR(E2)</f>
        <v>2025</v>
      </c>
    </row>
    <row r="7" spans="1:8" x14ac:dyDescent="0.3">
      <c r="A7" t="s">
        <v>4</v>
      </c>
      <c r="B7" t="b">
        <f>A1&lt;B1</f>
        <v>0</v>
      </c>
      <c r="D7" s="6" t="s">
        <v>11</v>
      </c>
      <c r="E7" s="3">
        <f ca="1">HOUR(E3)</f>
        <v>16</v>
      </c>
    </row>
    <row r="8" spans="1:8" x14ac:dyDescent="0.3">
      <c r="A8" t="s">
        <v>5</v>
      </c>
      <c r="B8" t="b">
        <f>A1&lt;=B1</f>
        <v>1</v>
      </c>
      <c r="D8" s="6" t="s">
        <v>12</v>
      </c>
      <c r="E8" s="3">
        <f ca="1">MINUTE(E3)</f>
        <v>3</v>
      </c>
    </row>
    <row r="9" spans="1:8" x14ac:dyDescent="0.3">
      <c r="D9" s="6" t="s">
        <v>15</v>
      </c>
      <c r="E9" s="4">
        <f ca="1">WEEKDAY(E2)</f>
        <v>5</v>
      </c>
    </row>
    <row r="10" spans="1:8" x14ac:dyDescent="0.3">
      <c r="D10" s="6" t="s">
        <v>16</v>
      </c>
      <c r="E10" s="3" t="str">
        <f ca="1">TEXT(E9,"dddd")</f>
        <v>quinta-feira</v>
      </c>
    </row>
    <row r="11" spans="1:8" ht="15" thickBot="1" x14ac:dyDescent="0.35">
      <c r="D11" s="7" t="s">
        <v>17</v>
      </c>
      <c r="E11" s="5">
        <f ca="1">DATE(E6,E5,E4)</f>
        <v>45659</v>
      </c>
    </row>
    <row r="12" spans="1:8" ht="15" thickBot="1" x14ac:dyDescent="0.35"/>
    <row r="13" spans="1:8" x14ac:dyDescent="0.3">
      <c r="D13" s="8" t="s">
        <v>18</v>
      </c>
      <c r="E13" s="10">
        <v>21</v>
      </c>
    </row>
    <row r="14" spans="1:8" x14ac:dyDescent="0.3">
      <c r="D14" s="6" t="s">
        <v>19</v>
      </c>
      <c r="E14" s="4">
        <v>5</v>
      </c>
    </row>
    <row r="15" spans="1:8" x14ac:dyDescent="0.3">
      <c r="D15" s="6" t="s">
        <v>20</v>
      </c>
      <c r="E15" s="4">
        <f>QUOTIENT(E13,E14)</f>
        <v>4</v>
      </c>
    </row>
    <row r="16" spans="1:8" ht="15" thickBot="1" x14ac:dyDescent="0.35">
      <c r="D16" s="7" t="s">
        <v>21</v>
      </c>
      <c r="E16" s="11">
        <f>MOD(E13,E14)</f>
        <v>1</v>
      </c>
    </row>
    <row r="17" spans="4:5" ht="15" thickBot="1" x14ac:dyDescent="0.35"/>
    <row r="18" spans="4:5" ht="15" thickBot="1" x14ac:dyDescent="0.35">
      <c r="D18" s="14" t="s">
        <v>23</v>
      </c>
      <c r="E18" s="15" t="s">
        <v>8</v>
      </c>
    </row>
    <row r="19" spans="4:5" ht="15" thickBot="1" x14ac:dyDescent="0.35">
      <c r="D19" s="7" t="s">
        <v>22</v>
      </c>
      <c r="E19" s="9" t="str">
        <f>D18&amp;" "&amp;E18</f>
        <v>bom dia</v>
      </c>
    </row>
    <row r="20" spans="4:5" ht="15" thickBot="1" x14ac:dyDescent="0.35">
      <c r="D20" s="14" t="s">
        <v>24</v>
      </c>
      <c r="E20" s="15" t="str">
        <f>_xlfn.CONCAT(D18," ",E18)</f>
        <v>bom dia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Sousa</dc:creator>
  <cp:lastModifiedBy>Gustavo Sousa</cp:lastModifiedBy>
  <dcterms:created xsi:type="dcterms:W3CDTF">2025-01-02T15:04:38Z</dcterms:created>
  <dcterms:modified xsi:type="dcterms:W3CDTF">2025-01-02T16:05:20Z</dcterms:modified>
</cp:coreProperties>
</file>