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Documentos\Gustavo\Mozangão\Tecnicas de programação\"/>
    </mc:Choice>
  </mc:AlternateContent>
  <xr:revisionPtr revIDLastSave="0" documentId="13_ncr:1_{C70DCD59-5109-412C-BC46-FB6B014249E8}" xr6:coauthVersionLast="47" xr6:coauthVersionMax="47" xr10:uidLastSave="{00000000-0000-0000-0000-000000000000}"/>
  <bookViews>
    <workbookView xWindow="-108" yWindow="-108" windowWidth="23256" windowHeight="12456" xr2:uid="{50609191-5AA1-4A23-903F-4C9B2B160C68}"/>
  </bookViews>
  <sheets>
    <sheet name="formula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52" i="1"/>
  <c r="B56" i="1"/>
  <c r="B51" i="1"/>
  <c r="B46" i="1"/>
  <c r="B39" i="1"/>
  <c r="B38" i="1"/>
  <c r="B40" i="1" s="1"/>
  <c r="B32" i="1"/>
  <c r="B33" i="1" s="1"/>
  <c r="B27" i="1"/>
  <c r="B28" i="1" s="1"/>
  <c r="B23" i="1"/>
  <c r="B3" i="1"/>
  <c r="B19" i="1"/>
  <c r="B18" i="1"/>
  <c r="B14" i="1"/>
  <c r="B15" i="1"/>
  <c r="B10" i="1"/>
  <c r="B6" i="1"/>
</calcChain>
</file>

<file path=xl/sharedStrings.xml><?xml version="1.0" encoding="utf-8"?>
<sst xmlns="http://schemas.openxmlformats.org/spreadsheetml/2006/main" count="44" uniqueCount="43">
  <si>
    <t>metros</t>
  </si>
  <si>
    <t>centimetros</t>
  </si>
  <si>
    <t>polegadas</t>
  </si>
  <si>
    <t>Preço do bilhete</t>
  </si>
  <si>
    <t>Numero de bilhetes comprados</t>
  </si>
  <si>
    <t>Valor total a pagar</t>
  </si>
  <si>
    <t>comprimento do retangulo</t>
  </si>
  <si>
    <t>largura do retangulo</t>
  </si>
  <si>
    <t>Perímetro do retangulo</t>
  </si>
  <si>
    <t>Área do retangulo</t>
  </si>
  <si>
    <t>Perímetro do quadrado</t>
  </si>
  <si>
    <t>Área do quadrado</t>
  </si>
  <si>
    <t>Data Carnaval</t>
  </si>
  <si>
    <t>Data Páscoa</t>
  </si>
  <si>
    <t>Dias entre as datas</t>
  </si>
  <si>
    <t>Custo sem IVA</t>
  </si>
  <si>
    <t>taxa de IVA</t>
  </si>
  <si>
    <t>valor do IVA</t>
  </si>
  <si>
    <t>Custo final</t>
  </si>
  <si>
    <t>Lado do quadrado</t>
  </si>
  <si>
    <t>depósito em 1/1/2017</t>
  </si>
  <si>
    <t>taxa de juro</t>
  </si>
  <si>
    <t>Valor do juro</t>
  </si>
  <si>
    <t>valor no banco em 1/1/2018</t>
  </si>
  <si>
    <t>Salário bruto</t>
  </si>
  <si>
    <t>Taxa desconto Ssocial</t>
  </si>
  <si>
    <t>Taxa desconto IRS</t>
  </si>
  <si>
    <t>Valor desconto Ssocial</t>
  </si>
  <si>
    <t>Valor desconto IRS</t>
  </si>
  <si>
    <t>Salário líquido</t>
  </si>
  <si>
    <t>Consumo por 100Km (em litros)</t>
  </si>
  <si>
    <t>Número de Kilómetros feitos</t>
  </si>
  <si>
    <t>Custo por litro</t>
  </si>
  <si>
    <t>Consumo em litros</t>
  </si>
  <si>
    <t>Valor total gasto</t>
  </si>
  <si>
    <t>Horas de trabalho</t>
  </si>
  <si>
    <t>Potência consumida</t>
  </si>
  <si>
    <t>Custo total</t>
  </si>
  <si>
    <t>Potencia do aparelho (Watts)</t>
  </si>
  <si>
    <t>Custo Kwh (kilowatt-hora)</t>
  </si>
  <si>
    <t>Altura (m)</t>
  </si>
  <si>
    <t>IMC</t>
  </si>
  <si>
    <t>Peso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</si>
</sst>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€-2]\ * #,##0.00_-;\-[$€-2]\ * #,##0.00_-;_-[$€-2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2" borderId="1" xfId="1" applyNumberFormat="1" applyFont="1" applyFill="1" applyBorder="1"/>
    <xf numFmtId="44" fontId="0" fillId="0" borderId="1" xfId="1" applyFont="1" applyBorder="1"/>
    <xf numFmtId="2" fontId="0" fillId="0" borderId="1" xfId="0" applyNumberFormat="1" applyBorder="1"/>
    <xf numFmtId="2" fontId="0" fillId="2" borderId="1" xfId="0" applyNumberFormat="1" applyFill="1" applyBorder="1"/>
    <xf numFmtId="14" fontId="0" fillId="0" borderId="1" xfId="0" applyNumberFormat="1" applyBorder="1"/>
    <xf numFmtId="9" fontId="0" fillId="0" borderId="1" xfId="2" applyFont="1" applyBorder="1"/>
    <xf numFmtId="9" fontId="0" fillId="0" borderId="1" xfId="0" applyNumberFormat="1" applyBorder="1"/>
    <xf numFmtId="164" fontId="0" fillId="2" borderId="1" xfId="0" applyNumberFormat="1" applyFill="1" applyBorder="1"/>
    <xf numFmtId="164" fontId="0" fillId="0" borderId="1" xfId="1" applyNumberFormat="1" applyFont="1" applyBorder="1" applyAlignment="1"/>
    <xf numFmtId="164" fontId="0" fillId="0" borderId="1" xfId="1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F4B8-005C-4266-AB4F-89F6A144A1DA}">
  <dimension ref="A2:B56"/>
  <sheetViews>
    <sheetView tabSelected="1" workbookViewId="0">
      <selection sqref="A1:XFD1048576"/>
    </sheetView>
  </sheetViews>
  <sheetFormatPr defaultRowHeight="14.4" x14ac:dyDescent="0.3"/>
  <cols>
    <col min="1" max="1" width="26.44140625" bestFit="1" customWidth="1"/>
    <col min="2" max="2" width="13.5546875" customWidth="1"/>
  </cols>
  <sheetData>
    <row r="2" spans="1:2" x14ac:dyDescent="0.3">
      <c r="A2" s="1" t="s">
        <v>0</v>
      </c>
      <c r="B2" s="5">
        <v>1.8</v>
      </c>
    </row>
    <row r="3" spans="1:2" x14ac:dyDescent="0.3">
      <c r="A3" s="1" t="s">
        <v>1</v>
      </c>
      <c r="B3" s="6">
        <f>B2 * 100</f>
        <v>180</v>
      </c>
    </row>
    <row r="5" spans="1:2" x14ac:dyDescent="0.3">
      <c r="A5" s="1" t="s">
        <v>2</v>
      </c>
      <c r="B5" s="5">
        <v>2</v>
      </c>
    </row>
    <row r="6" spans="1:2" x14ac:dyDescent="0.3">
      <c r="A6" s="1" t="s">
        <v>1</v>
      </c>
      <c r="B6" s="6">
        <f>B5 * 2.54</f>
        <v>5.08</v>
      </c>
    </row>
    <row r="8" spans="1:2" x14ac:dyDescent="0.3">
      <c r="A8" s="1" t="s">
        <v>3</v>
      </c>
      <c r="B8" s="12">
        <v>100</v>
      </c>
    </row>
    <row r="9" spans="1:2" x14ac:dyDescent="0.3">
      <c r="A9" s="1" t="s">
        <v>4</v>
      </c>
      <c r="B9" s="5">
        <v>2</v>
      </c>
    </row>
    <row r="10" spans="1:2" x14ac:dyDescent="0.3">
      <c r="A10" s="1" t="s">
        <v>5</v>
      </c>
      <c r="B10" s="3">
        <f>B8 * B9</f>
        <v>200</v>
      </c>
    </row>
    <row r="12" spans="1:2" x14ac:dyDescent="0.3">
      <c r="A12" s="1" t="s">
        <v>6</v>
      </c>
      <c r="B12" s="5">
        <v>4</v>
      </c>
    </row>
    <row r="13" spans="1:2" x14ac:dyDescent="0.3">
      <c r="A13" s="1" t="s">
        <v>7</v>
      </c>
      <c r="B13" s="5">
        <v>4</v>
      </c>
    </row>
    <row r="14" spans="1:2" x14ac:dyDescent="0.3">
      <c r="A14" s="1" t="s">
        <v>8</v>
      </c>
      <c r="B14" s="6">
        <f>2*(B12+B13)</f>
        <v>16</v>
      </c>
    </row>
    <row r="15" spans="1:2" x14ac:dyDescent="0.3">
      <c r="A15" s="1" t="s">
        <v>9</v>
      </c>
      <c r="B15" s="6">
        <f>B12 * B13</f>
        <v>16</v>
      </c>
    </row>
    <row r="17" spans="1:2" x14ac:dyDescent="0.3">
      <c r="A17" s="1" t="s">
        <v>19</v>
      </c>
      <c r="B17" s="5">
        <v>2</v>
      </c>
    </row>
    <row r="18" spans="1:2" x14ac:dyDescent="0.3">
      <c r="A18" s="1" t="s">
        <v>10</v>
      </c>
      <c r="B18" s="6">
        <f>4*B17</f>
        <v>8</v>
      </c>
    </row>
    <row r="19" spans="1:2" x14ac:dyDescent="0.3">
      <c r="A19" s="1" t="s">
        <v>11</v>
      </c>
      <c r="B19" s="6">
        <f>B17*B17</f>
        <v>4</v>
      </c>
    </row>
    <row r="21" spans="1:2" x14ac:dyDescent="0.3">
      <c r="A21" s="1" t="s">
        <v>12</v>
      </c>
      <c r="B21" s="7">
        <v>45344</v>
      </c>
    </row>
    <row r="22" spans="1:2" x14ac:dyDescent="0.3">
      <c r="A22" s="1" t="s">
        <v>13</v>
      </c>
      <c r="B22" s="7">
        <v>45382</v>
      </c>
    </row>
    <row r="23" spans="1:2" x14ac:dyDescent="0.3">
      <c r="A23" s="1" t="s">
        <v>14</v>
      </c>
      <c r="B23" s="2">
        <f>B22-B21</f>
        <v>38</v>
      </c>
    </row>
    <row r="25" spans="1:2" x14ac:dyDescent="0.3">
      <c r="A25" s="1" t="s">
        <v>15</v>
      </c>
      <c r="B25" s="12">
        <v>1000</v>
      </c>
    </row>
    <row r="26" spans="1:2" x14ac:dyDescent="0.3">
      <c r="A26" s="1" t="s">
        <v>16</v>
      </c>
      <c r="B26" s="8">
        <v>0.23</v>
      </c>
    </row>
    <row r="27" spans="1:2" x14ac:dyDescent="0.3">
      <c r="A27" s="1" t="s">
        <v>17</v>
      </c>
      <c r="B27" s="10">
        <f>B25 * B26</f>
        <v>230</v>
      </c>
    </row>
    <row r="28" spans="1:2" x14ac:dyDescent="0.3">
      <c r="A28" s="1" t="s">
        <v>18</v>
      </c>
      <c r="B28" s="10">
        <f>B25 + B27</f>
        <v>1230</v>
      </c>
    </row>
    <row r="30" spans="1:2" x14ac:dyDescent="0.3">
      <c r="A30" s="1" t="s">
        <v>20</v>
      </c>
      <c r="B30" s="4">
        <v>1000</v>
      </c>
    </row>
    <row r="31" spans="1:2" x14ac:dyDescent="0.3">
      <c r="A31" s="1" t="s">
        <v>21</v>
      </c>
      <c r="B31" s="8">
        <v>0.02</v>
      </c>
    </row>
    <row r="32" spans="1:2" x14ac:dyDescent="0.3">
      <c r="A32" s="1" t="s">
        <v>22</v>
      </c>
      <c r="B32" s="10">
        <f>B30 * B31</f>
        <v>20</v>
      </c>
    </row>
    <row r="33" spans="1:2" x14ac:dyDescent="0.3">
      <c r="A33" s="1" t="s">
        <v>23</v>
      </c>
      <c r="B33" s="10">
        <f>B30 + B32</f>
        <v>1020</v>
      </c>
    </row>
    <row r="35" spans="1:2" x14ac:dyDescent="0.3">
      <c r="A35" s="1" t="s">
        <v>24</v>
      </c>
      <c r="B35" s="4">
        <v>1000</v>
      </c>
    </row>
    <row r="36" spans="1:2" x14ac:dyDescent="0.3">
      <c r="A36" s="1" t="s">
        <v>25</v>
      </c>
      <c r="B36" s="9">
        <v>0.05</v>
      </c>
    </row>
    <row r="37" spans="1:2" x14ac:dyDescent="0.3">
      <c r="A37" s="1" t="s">
        <v>26</v>
      </c>
      <c r="B37" s="9">
        <v>0.1</v>
      </c>
    </row>
    <row r="38" spans="1:2" x14ac:dyDescent="0.3">
      <c r="A38" s="1" t="s">
        <v>27</v>
      </c>
      <c r="B38" s="10">
        <f>B35 * B36</f>
        <v>50</v>
      </c>
    </row>
    <row r="39" spans="1:2" x14ac:dyDescent="0.3">
      <c r="A39" s="1" t="s">
        <v>28</v>
      </c>
      <c r="B39" s="10">
        <f>B37 * B35</f>
        <v>100</v>
      </c>
    </row>
    <row r="40" spans="1:2" x14ac:dyDescent="0.3">
      <c r="A40" s="1" t="s">
        <v>29</v>
      </c>
      <c r="B40" s="10">
        <f>B35 - B38 - B39</f>
        <v>850</v>
      </c>
    </row>
    <row r="42" spans="1:2" x14ac:dyDescent="0.3">
      <c r="A42" s="1" t="s">
        <v>30</v>
      </c>
      <c r="B42" s="5">
        <v>7</v>
      </c>
    </row>
    <row r="43" spans="1:2" x14ac:dyDescent="0.3">
      <c r="A43" s="1" t="s">
        <v>31</v>
      </c>
      <c r="B43" s="5">
        <v>500</v>
      </c>
    </row>
    <row r="44" spans="1:2" x14ac:dyDescent="0.3">
      <c r="A44" s="1" t="s">
        <v>32</v>
      </c>
      <c r="B44" s="12">
        <v>1.7</v>
      </c>
    </row>
    <row r="45" spans="1:2" x14ac:dyDescent="0.3">
      <c r="A45" s="1" t="s">
        <v>33</v>
      </c>
      <c r="B45" s="6">
        <f>(B42*B43)/100</f>
        <v>35</v>
      </c>
    </row>
    <row r="46" spans="1:2" x14ac:dyDescent="0.3">
      <c r="A46" s="1" t="s">
        <v>34</v>
      </c>
      <c r="B46" s="10">
        <f>B45 * B44</f>
        <v>59.5</v>
      </c>
    </row>
    <row r="48" spans="1:2" x14ac:dyDescent="0.3">
      <c r="A48" s="1" t="s">
        <v>38</v>
      </c>
      <c r="B48" s="5">
        <v>1000</v>
      </c>
    </row>
    <row r="49" spans="1:2" x14ac:dyDescent="0.3">
      <c r="A49" s="1" t="s">
        <v>35</v>
      </c>
      <c r="B49" s="5">
        <v>5</v>
      </c>
    </row>
    <row r="50" spans="1:2" x14ac:dyDescent="0.3">
      <c r="A50" s="1" t="s">
        <v>39</v>
      </c>
      <c r="B50" s="11">
        <v>0.16</v>
      </c>
    </row>
    <row r="51" spans="1:2" x14ac:dyDescent="0.3">
      <c r="A51" s="1" t="s">
        <v>36</v>
      </c>
      <c r="B51" s="6">
        <f>B48 * B49</f>
        <v>5000</v>
      </c>
    </row>
    <row r="52" spans="1:2" x14ac:dyDescent="0.3">
      <c r="A52" s="1" t="s">
        <v>37</v>
      </c>
      <c r="B52" s="3">
        <f xml:space="preserve"> B51 * B50/1000</f>
        <v>0.8</v>
      </c>
    </row>
    <row r="54" spans="1:2" x14ac:dyDescent="0.3">
      <c r="A54" s="1" t="s">
        <v>42</v>
      </c>
      <c r="B54" s="5">
        <v>70</v>
      </c>
    </row>
    <row r="55" spans="1:2" x14ac:dyDescent="0.3">
      <c r="A55" s="1" t="s">
        <v>40</v>
      </c>
      <c r="B55" s="1">
        <v>1.78</v>
      </c>
    </row>
    <row r="56" spans="1:2" x14ac:dyDescent="0.3">
      <c r="A56" s="1" t="s">
        <v>41</v>
      </c>
      <c r="B56" s="6">
        <f>B54 / (B55^2)</f>
        <v>22.093170054286073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Sousa</dc:creator>
  <cp:lastModifiedBy>Gustavo Sousa</cp:lastModifiedBy>
  <dcterms:created xsi:type="dcterms:W3CDTF">2024-12-13T09:31:41Z</dcterms:created>
  <dcterms:modified xsi:type="dcterms:W3CDTF">2024-12-13T12:22:54Z</dcterms:modified>
</cp:coreProperties>
</file>