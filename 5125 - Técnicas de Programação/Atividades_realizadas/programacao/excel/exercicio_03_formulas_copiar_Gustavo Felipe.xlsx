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OneDrive\Documentos\Documentos\Gustavo\Mozangão\Tecnicas de programação\"/>
    </mc:Choice>
  </mc:AlternateContent>
  <xr:revisionPtr revIDLastSave="0" documentId="13_ncr:1_{0FA61CE3-2CB4-4E17-9B44-335BA179D41E}" xr6:coauthVersionLast="47" xr6:coauthVersionMax="47" xr10:uidLastSave="{00000000-0000-0000-0000-000000000000}"/>
  <bookViews>
    <workbookView xWindow="-108" yWindow="-108" windowWidth="23256" windowHeight="12456" activeTab="2" xr2:uid="{4613B6F7-F65A-4526-B147-C7AA12528C9B}"/>
  </bookViews>
  <sheets>
    <sheet name="formulas" sheetId="1" r:id="rId1"/>
    <sheet name="01formulas_copiar" sheetId="2" r:id="rId2"/>
    <sheet name="02formulas_copiar" sheetId="4" r:id="rId3"/>
    <sheet name="tabuada" sheetId="3" r:id="rId4"/>
  </sheets>
  <externalReferences>
    <externalReference r:id="rId5"/>
  </externalReferences>
  <definedNames>
    <definedName name="IVA">[1]preço!$B$10</definedName>
    <definedName name="lucro">[1]preço!$B$9</definedName>
    <definedName name="Total">[1]Formulas!$D$46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5" i="4"/>
  <c r="C6" i="4"/>
  <c r="C7" i="4"/>
  <c r="C8" i="4"/>
  <c r="D8" i="4" s="1"/>
  <c r="C3" i="4"/>
  <c r="B5" i="3"/>
  <c r="D25" i="4"/>
  <c r="B56" i="1"/>
  <c r="B51" i="1"/>
  <c r="B52" i="1" s="1"/>
  <c r="B45" i="1"/>
  <c r="B46" i="1" s="1"/>
  <c r="B39" i="1"/>
  <c r="B38" i="1"/>
  <c r="B40" i="1" s="1"/>
  <c r="B32" i="1"/>
  <c r="B33" i="1" s="1"/>
  <c r="B27" i="1"/>
  <c r="B28" i="1" s="1"/>
  <c r="B23" i="1"/>
  <c r="B19" i="1"/>
  <c r="B18" i="1"/>
  <c r="B15" i="1"/>
  <c r="B14" i="1"/>
  <c r="B10" i="1"/>
  <c r="B6" i="1"/>
  <c r="B3" i="1"/>
  <c r="J13" i="3"/>
  <c r="I13" i="3"/>
  <c r="H13" i="3"/>
  <c r="G13" i="3"/>
  <c r="F13" i="3"/>
  <c r="E13" i="3"/>
  <c r="D13" i="3"/>
  <c r="C13" i="3"/>
  <c r="B13" i="3"/>
  <c r="J12" i="3"/>
  <c r="I12" i="3"/>
  <c r="H12" i="3"/>
  <c r="G12" i="3"/>
  <c r="F12" i="3"/>
  <c r="E12" i="3"/>
  <c r="D12" i="3"/>
  <c r="C12" i="3"/>
  <c r="B12" i="3"/>
  <c r="J11" i="3"/>
  <c r="I11" i="3"/>
  <c r="H11" i="3"/>
  <c r="G11" i="3"/>
  <c r="F11" i="3"/>
  <c r="E11" i="3"/>
  <c r="D11" i="3"/>
  <c r="C11" i="3"/>
  <c r="B11" i="3"/>
  <c r="J10" i="3"/>
  <c r="I10" i="3"/>
  <c r="H10" i="3"/>
  <c r="G10" i="3"/>
  <c r="F10" i="3"/>
  <c r="E10" i="3"/>
  <c r="D10" i="3"/>
  <c r="C10" i="3"/>
  <c r="B10" i="3"/>
  <c r="J9" i="3"/>
  <c r="I9" i="3"/>
  <c r="H9" i="3"/>
  <c r="G9" i="3"/>
  <c r="F9" i="3"/>
  <c r="E9" i="3"/>
  <c r="D9" i="3"/>
  <c r="C9" i="3"/>
  <c r="B9" i="3"/>
  <c r="J8" i="3"/>
  <c r="I8" i="3"/>
  <c r="H8" i="3"/>
  <c r="G8" i="3"/>
  <c r="F8" i="3"/>
  <c r="E8" i="3"/>
  <c r="D8" i="3"/>
  <c r="C8" i="3"/>
  <c r="B8" i="3"/>
  <c r="J7" i="3"/>
  <c r="I7" i="3"/>
  <c r="H7" i="3"/>
  <c r="G7" i="3"/>
  <c r="F7" i="3"/>
  <c r="E7" i="3"/>
  <c r="D7" i="3"/>
  <c r="C7" i="3"/>
  <c r="B7" i="3"/>
  <c r="J6" i="3"/>
  <c r="I6" i="3"/>
  <c r="H6" i="3"/>
  <c r="G6" i="3"/>
  <c r="F6" i="3"/>
  <c r="E6" i="3"/>
  <c r="D6" i="3"/>
  <c r="C6" i="3"/>
  <c r="B6" i="3"/>
  <c r="J5" i="3"/>
  <c r="I5" i="3"/>
  <c r="H5" i="3"/>
  <c r="G5" i="3"/>
  <c r="F5" i="3"/>
  <c r="E5" i="3"/>
  <c r="D5" i="3"/>
  <c r="C5" i="3"/>
  <c r="E41" i="4"/>
  <c r="E40" i="4"/>
  <c r="E39" i="4"/>
  <c r="E38" i="4"/>
  <c r="E37" i="4"/>
  <c r="D41" i="4"/>
  <c r="D40" i="4"/>
  <c r="D39" i="4"/>
  <c r="D38" i="4"/>
  <c r="D37" i="4"/>
  <c r="D26" i="4"/>
  <c r="D27" i="4"/>
  <c r="D28" i="4"/>
  <c r="D29" i="4"/>
  <c r="D30" i="4"/>
  <c r="D31" i="4"/>
  <c r="D32" i="4"/>
  <c r="C32" i="4"/>
  <c r="C31" i="4"/>
  <c r="C30" i="4"/>
  <c r="C29" i="4"/>
  <c r="C28" i="4"/>
  <c r="C27" i="4"/>
  <c r="C26" i="4"/>
  <c r="C25" i="4"/>
  <c r="E19" i="4"/>
  <c r="E18" i="4"/>
  <c r="E17" i="4"/>
  <c r="E16" i="4"/>
  <c r="E15" i="4"/>
  <c r="E14" i="4"/>
  <c r="D19" i="4"/>
  <c r="D18" i="4"/>
  <c r="D17" i="4"/>
  <c r="D16" i="4"/>
  <c r="D15" i="4"/>
  <c r="D14" i="4"/>
  <c r="C19" i="4"/>
  <c r="C18" i="4"/>
  <c r="C17" i="4"/>
  <c r="C16" i="4"/>
  <c r="C15" i="4"/>
  <c r="C14" i="4"/>
  <c r="D7" i="4"/>
  <c r="D6" i="4"/>
  <c r="D5" i="4"/>
  <c r="D4" i="4"/>
  <c r="D3" i="4"/>
  <c r="E43" i="2"/>
  <c r="E44" i="2"/>
  <c r="E45" i="2"/>
  <c r="E46" i="2"/>
  <c r="E47" i="2"/>
  <c r="E48" i="2"/>
  <c r="E49" i="2"/>
  <c r="E50" i="2"/>
  <c r="E51" i="2"/>
  <c r="E52" i="2"/>
  <c r="E53" i="2"/>
  <c r="E54" i="2"/>
  <c r="E42" i="2"/>
  <c r="D43" i="2"/>
  <c r="D44" i="2"/>
  <c r="D45" i="2"/>
  <c r="D46" i="2"/>
  <c r="D47" i="2"/>
  <c r="D48" i="2"/>
  <c r="D49" i="2"/>
  <c r="D50" i="2"/>
  <c r="D51" i="2"/>
  <c r="D52" i="2"/>
  <c r="D53" i="2"/>
  <c r="D54" i="2"/>
  <c r="D42" i="2"/>
  <c r="E36" i="2"/>
  <c r="E37" i="2"/>
  <c r="E38" i="2"/>
  <c r="E35" i="2"/>
  <c r="D36" i="2"/>
  <c r="D37" i="2"/>
  <c r="D38" i="2"/>
  <c r="D35" i="2"/>
  <c r="D28" i="2"/>
  <c r="D29" i="2"/>
  <c r="D30" i="2"/>
  <c r="D31" i="2"/>
  <c r="D27" i="2"/>
  <c r="C14" i="2"/>
  <c r="C15" i="2"/>
  <c r="C16" i="2"/>
  <c r="C17" i="2"/>
  <c r="C18" i="2"/>
  <c r="C19" i="2"/>
  <c r="C20" i="2"/>
  <c r="C21" i="2"/>
  <c r="C22" i="2"/>
  <c r="C23" i="2"/>
  <c r="C13" i="2"/>
  <c r="C5" i="2"/>
  <c r="C6" i="2"/>
  <c r="C7" i="2"/>
  <c r="C8" i="2"/>
  <c r="C9" i="2"/>
  <c r="C4" i="2"/>
</calcChain>
</file>

<file path=xl/sharedStrings.xml><?xml version="1.0" encoding="utf-8"?>
<sst xmlns="http://schemas.openxmlformats.org/spreadsheetml/2006/main" count="155" uniqueCount="134">
  <si>
    <t>metros</t>
  </si>
  <si>
    <t>polegadas</t>
  </si>
  <si>
    <t>Valor total a pagar</t>
  </si>
  <si>
    <t>comprimento do retangulo</t>
  </si>
  <si>
    <t>largura do retangulo</t>
  </si>
  <si>
    <t>Perímetro do retangulo</t>
  </si>
  <si>
    <t>Área do retangulo</t>
  </si>
  <si>
    <t>Perímetro do quadrado</t>
  </si>
  <si>
    <t>Área do quadrado</t>
  </si>
  <si>
    <t>Data Carnaval</t>
  </si>
  <si>
    <t>Data Páscoa</t>
  </si>
  <si>
    <t>Dias entre as datas</t>
  </si>
  <si>
    <t>Custo sem IVA</t>
  </si>
  <si>
    <t>taxa de IVA</t>
  </si>
  <si>
    <t>valor do IVA</t>
  </si>
  <si>
    <t>Custo final</t>
  </si>
  <si>
    <t>depósito em 1/1/2017</t>
  </si>
  <si>
    <t>taxa de juro</t>
  </si>
  <si>
    <t>Valor do juro</t>
  </si>
  <si>
    <t>valor no banco em 1/1/2018</t>
  </si>
  <si>
    <t>Salário bruto</t>
  </si>
  <si>
    <t>Taxa desconto Ssocial</t>
  </si>
  <si>
    <t>Taxa desconto IRS</t>
  </si>
  <si>
    <t>Valor desconto Ssocial</t>
  </si>
  <si>
    <t>Valor desconto IRS</t>
  </si>
  <si>
    <t>Salário líquido</t>
  </si>
  <si>
    <t>Consumo por 100Km (em litros)</t>
  </si>
  <si>
    <t>Número de Kilómetros feitos</t>
  </si>
  <si>
    <t>Custo por litro</t>
  </si>
  <si>
    <t>Consumo em litros</t>
  </si>
  <si>
    <t>Valor total gasto</t>
  </si>
  <si>
    <t>Potencia do aparelho (Watts)</t>
  </si>
  <si>
    <t>Horas de trabalho</t>
  </si>
  <si>
    <t>Custo Kwh (kilowatt-hora)</t>
  </si>
  <si>
    <t>Potência consumida</t>
  </si>
  <si>
    <t>Custo total</t>
  </si>
  <si>
    <t>Peso (kg)</t>
  </si>
  <si>
    <t>Altura (m)</t>
  </si>
  <si>
    <t>IMC</t>
  </si>
  <si>
    <t>Nomes</t>
  </si>
  <si>
    <t>Altura em metros</t>
  </si>
  <si>
    <t>Altura em centimetros</t>
  </si>
  <si>
    <t>Augusto Oliveira</t>
  </si>
  <si>
    <t>Helena Cunha</t>
  </si>
  <si>
    <t>João Manuel Rosa</t>
  </si>
  <si>
    <t>Luis Manuel Leitão</t>
  </si>
  <si>
    <t>Maria Adelaide Abreu</t>
  </si>
  <si>
    <t>Rita Alves</t>
  </si>
  <si>
    <t>Aparelho</t>
  </si>
  <si>
    <t>Ecran em polegadas</t>
  </si>
  <si>
    <t>Ecran em centimetros</t>
  </si>
  <si>
    <t>iphone 4</t>
  </si>
  <si>
    <t>iphone 5</t>
  </si>
  <si>
    <t>iphone x</t>
  </si>
  <si>
    <t>Telemóvel huawei P20</t>
  </si>
  <si>
    <t>Samsung Note 9</t>
  </si>
  <si>
    <t>tablet Huawei M3 Lite</t>
  </si>
  <si>
    <t>Microsoft Surface Pro</t>
  </si>
  <si>
    <t>Portátil Lenovo</t>
  </si>
  <si>
    <t>TV Led LG HD</t>
  </si>
  <si>
    <t>TV Led LG 4K Ultra HD</t>
  </si>
  <si>
    <t>TV OLED LG 4K Ultra HD 65C8</t>
  </si>
  <si>
    <t>Produto</t>
  </si>
  <si>
    <t>Quantidade</t>
  </si>
  <si>
    <t>Preço Unitário</t>
  </si>
  <si>
    <t>Valor Total</t>
  </si>
  <si>
    <t>Livros</t>
  </si>
  <si>
    <t>Cadernos</t>
  </si>
  <si>
    <t>Borrachas</t>
  </si>
  <si>
    <t>Lápis</t>
  </si>
  <si>
    <t>Réguas</t>
  </si>
  <si>
    <t>Apartamento T1</t>
  </si>
  <si>
    <t>Comprimento</t>
  </si>
  <si>
    <t>Largura</t>
  </si>
  <si>
    <t>Rodapé (metros)</t>
  </si>
  <si>
    <t>soalho (metros quadrados)</t>
  </si>
  <si>
    <t>Cozinha</t>
  </si>
  <si>
    <t>WC</t>
  </si>
  <si>
    <t>Sala</t>
  </si>
  <si>
    <t>Quarto</t>
  </si>
  <si>
    <t>Lista de compas</t>
  </si>
  <si>
    <t>Taxa de IVA</t>
  </si>
  <si>
    <t>Valor do IVA</t>
  </si>
  <si>
    <t>Custo Final</t>
  </si>
  <si>
    <t>pão</t>
  </si>
  <si>
    <t>sardinhas de conserva</t>
  </si>
  <si>
    <t>robalo fresco</t>
  </si>
  <si>
    <t>atum em conserva</t>
  </si>
  <si>
    <t>Jornal</t>
  </si>
  <si>
    <t>Frango inteiro</t>
  </si>
  <si>
    <t>Leite</t>
  </si>
  <si>
    <t>Brócolos</t>
  </si>
  <si>
    <t>Garrafa vinho verde</t>
  </si>
  <si>
    <t>Água</t>
  </si>
  <si>
    <t>escova de dentes</t>
  </si>
  <si>
    <t>desodorizante</t>
  </si>
  <si>
    <t>detergente máquina</t>
  </si>
  <si>
    <t>Taxa de Juro</t>
  </si>
  <si>
    <t>Cliente</t>
  </si>
  <si>
    <t>Conta a prazo em 1/1/2018</t>
  </si>
  <si>
    <t>Valor do Juro</t>
  </si>
  <si>
    <t>Conta a prazo em 1/1/2019</t>
  </si>
  <si>
    <t>Taxa de desconto Seg. Social</t>
  </si>
  <si>
    <t>Taxa de desconto IRS</t>
  </si>
  <si>
    <t>Funcionário</t>
  </si>
  <si>
    <t>Salário Bruto</t>
  </si>
  <si>
    <t>Desconto Seg. Social</t>
  </si>
  <si>
    <t>Desconto IRS</t>
  </si>
  <si>
    <t>Salário Líquido</t>
  </si>
  <si>
    <t>Consumo médio por 100Km (em litros)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</si>
  <si>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</si>
  <si>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</si>
  <si>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</si>
  <si>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</si>
  <si>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</si>
  <si>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</si>
  <si>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</si>
  <si>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</si>
  <si>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</si>
  <si>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Mês de Janeiro</t>
  </si>
  <si>
    <t>Potencia (Watts)</t>
  </si>
  <si>
    <t>Horas ligado</t>
  </si>
  <si>
    <t>Potência consumida (watts)</t>
  </si>
  <si>
    <t>Aquecedor</t>
  </si>
  <si>
    <t>Frigorífico</t>
  </si>
  <si>
    <t>Computador</t>
  </si>
  <si>
    <t>Arca congeladora</t>
  </si>
  <si>
    <t>Micro ondas</t>
  </si>
  <si>
    <t>Inserir uma fórmula em B5 de forma a poder ser copiada para todas as restantes células da matriz</t>
  </si>
  <si>
    <t>X</t>
  </si>
  <si>
    <t>centimetros</t>
  </si>
  <si>
    <t>Preço do bilhete</t>
  </si>
  <si>
    <t>Numero de bilhetes comprados</t>
  </si>
  <si>
    <t>Lado do quadrado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</si>
</sst>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0.0"/>
    <numFmt numFmtId="167" formatCode="_-* #,##0.00\ [$€-816]_-;\-* #,##0.00\ [$€-816]_-;_-* &quot;-&quot;??\ [$€-816]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2" fontId="0" fillId="0" borderId="1" xfId="0" applyNumberFormat="1" applyBorder="1"/>
    <xf numFmtId="0" fontId="0" fillId="4" borderId="1" xfId="0" applyFill="1" applyBorder="1"/>
    <xf numFmtId="166" fontId="0" fillId="0" borderId="1" xfId="0" applyNumberFormat="1" applyBorder="1"/>
    <xf numFmtId="166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0" fillId="0" borderId="0" xfId="2" applyFont="1"/>
    <xf numFmtId="9" fontId="0" fillId="0" borderId="0" xfId="0" applyNumberFormat="1"/>
    <xf numFmtId="167" fontId="0" fillId="0" borderId="1" xfId="2" applyNumberFormat="1" applyFont="1" applyBorder="1"/>
    <xf numFmtId="0" fontId="2" fillId="0" borderId="1" xfId="0" applyFont="1" applyBorder="1"/>
    <xf numFmtId="164" fontId="0" fillId="0" borderId="1" xfId="2" applyFont="1" applyBorder="1"/>
    <xf numFmtId="43" fontId="0" fillId="0" borderId="1" xfId="0" applyNumberFormat="1" applyBorder="1"/>
    <xf numFmtId="2" fontId="0" fillId="0" borderId="1" xfId="1" applyNumberFormat="1" applyFont="1" applyBorder="1" applyAlignment="1">
      <alignment horizontal="right"/>
    </xf>
    <xf numFmtId="2" fontId="0" fillId="0" borderId="1" xfId="1" applyNumberFormat="1" applyFont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2" fontId="0" fillId="2" borderId="1" xfId="0" applyNumberFormat="1" applyFill="1" applyBorder="1"/>
    <xf numFmtId="14" fontId="0" fillId="0" borderId="1" xfId="0" applyNumberFormat="1" applyBorder="1"/>
    <xf numFmtId="9" fontId="0" fillId="0" borderId="1" xfId="3" applyFont="1" applyBorder="1"/>
    <xf numFmtId="9" fontId="0" fillId="0" borderId="1" xfId="0" applyNumberFormat="1" applyBorder="1"/>
    <xf numFmtId="164" fontId="0" fillId="2" borderId="1" xfId="2" applyFont="1" applyFill="1" applyBorder="1"/>
    <xf numFmtId="164" fontId="0" fillId="0" borderId="1" xfId="2" applyFont="1" applyBorder="1" applyAlignment="1"/>
    <xf numFmtId="0" fontId="0" fillId="4" borderId="1" xfId="0" applyFill="1" applyBorder="1" applyAlignment="1">
      <alignment horizontal="right"/>
    </xf>
    <xf numFmtId="0" fontId="0" fillId="4" borderId="3" xfId="0" applyFill="1" applyBorder="1"/>
    <xf numFmtId="0" fontId="0" fillId="4" borderId="4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7" xfId="0" applyFill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64" fontId="0" fillId="0" borderId="1" xfId="2" applyFont="1" applyBorder="1" applyAlignment="1">
      <alignment horizontal="right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ropbox/2018/profissional/180159_tici_vverde/03_0778_excel_inicial/excel_inic_exercicios_praticos_comple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rma_tic"/>
      <sheetName val="TurmaTic_2"/>
      <sheetName val="Folha1"/>
      <sheetName val="batalha_naval"/>
      <sheetName val="sala_tic"/>
      <sheetName val="curso_tic"/>
      <sheetName val="horário_tic"/>
      <sheetName val="formatos"/>
      <sheetName val="Fórmulas_00"/>
      <sheetName val="Fórmulas_01"/>
      <sheetName val="Apartamento"/>
      <sheetName val="copiar_formulas"/>
      <sheetName val="tabuada"/>
      <sheetName val="Formulas"/>
      <sheetName val="Vendas_inic"/>
      <sheetName val="Vendas_fim"/>
      <sheetName val="Folha2"/>
      <sheetName val="vendedores_inic"/>
      <sheetName val="vendedores"/>
      <sheetName val="preço"/>
      <sheetName val="Cinema"/>
      <sheetName val="Gráfico1"/>
      <sheetName val="eleições"/>
      <sheetName val="Papelaria"/>
      <sheetName val="Projetos"/>
      <sheetName val="Acidentes"/>
      <sheetName val="Empresa"/>
      <sheetName val="orçamento"/>
      <sheetName val="Controlo orçamento"/>
      <sheetName val="Médico"/>
      <sheetName val="_01"/>
      <sheetName val="Despesas_01"/>
      <sheetName val="Despesas"/>
      <sheetName val="Extracto"/>
      <sheetName val="Extracto2"/>
      <sheetName val="Meteo"/>
      <sheetName val="meteo_02"/>
      <sheetName val="meteo_03"/>
      <sheetName val="tabelas_xx"/>
      <sheetName val="grafico_bull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6">
          <cell r="D46">
            <v>10616</v>
          </cell>
        </row>
      </sheetData>
      <sheetData sheetId="14"/>
      <sheetData sheetId="15"/>
      <sheetData sheetId="16"/>
      <sheetData sheetId="17"/>
      <sheetData sheetId="18"/>
      <sheetData sheetId="19">
        <row r="9">
          <cell r="B9">
            <v>0.35</v>
          </cell>
        </row>
        <row r="10">
          <cell r="B10">
            <v>0.23</v>
          </cell>
        </row>
      </sheetData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C90A-7A30-4DC0-B7A5-7A88093C25BB}">
  <dimension ref="A2:B56"/>
  <sheetViews>
    <sheetView zoomScaleNormal="100" workbookViewId="0">
      <selection activeCell="B51" sqref="B51"/>
    </sheetView>
  </sheetViews>
  <sheetFormatPr defaultRowHeight="14.4" x14ac:dyDescent="0.3"/>
  <cols>
    <col min="1" max="1" width="27" bestFit="1" customWidth="1"/>
    <col min="2" max="2" width="17.44140625" customWidth="1"/>
  </cols>
  <sheetData>
    <row r="2" spans="1:2" x14ac:dyDescent="0.3">
      <c r="A2" s="1" t="s">
        <v>0</v>
      </c>
      <c r="B2" s="6">
        <v>1.8</v>
      </c>
    </row>
    <row r="3" spans="1:2" x14ac:dyDescent="0.3">
      <c r="A3" s="1" t="s">
        <v>130</v>
      </c>
      <c r="B3" s="23">
        <f>B2 * 100</f>
        <v>180</v>
      </c>
    </row>
    <row r="5" spans="1:2" x14ac:dyDescent="0.3">
      <c r="A5" s="1" t="s">
        <v>1</v>
      </c>
      <c r="B5" s="6">
        <v>2</v>
      </c>
    </row>
    <row r="6" spans="1:2" x14ac:dyDescent="0.3">
      <c r="A6" s="1" t="s">
        <v>130</v>
      </c>
      <c r="B6" s="23">
        <f>B5 * 2.54</f>
        <v>5.08</v>
      </c>
    </row>
    <row r="8" spans="1:2" x14ac:dyDescent="0.3">
      <c r="A8" s="1" t="s">
        <v>131</v>
      </c>
      <c r="B8" s="16">
        <v>100</v>
      </c>
    </row>
    <row r="9" spans="1:2" x14ac:dyDescent="0.3">
      <c r="A9" s="1" t="s">
        <v>132</v>
      </c>
      <c r="B9" s="6">
        <v>2</v>
      </c>
    </row>
    <row r="10" spans="1:2" x14ac:dyDescent="0.3">
      <c r="A10" s="1" t="s">
        <v>2</v>
      </c>
      <c r="B10" s="27">
        <f>B8 * B9</f>
        <v>200</v>
      </c>
    </row>
    <row r="12" spans="1:2" x14ac:dyDescent="0.3">
      <c r="A12" s="1" t="s">
        <v>3</v>
      </c>
      <c r="B12" s="6">
        <v>4</v>
      </c>
    </row>
    <row r="13" spans="1:2" x14ac:dyDescent="0.3">
      <c r="A13" s="1" t="s">
        <v>4</v>
      </c>
      <c r="B13" s="6">
        <v>5</v>
      </c>
    </row>
    <row r="14" spans="1:2" x14ac:dyDescent="0.3">
      <c r="A14" s="1" t="s">
        <v>5</v>
      </c>
      <c r="B14" s="23">
        <f>2*(B12+B13)</f>
        <v>18</v>
      </c>
    </row>
    <row r="15" spans="1:2" x14ac:dyDescent="0.3">
      <c r="A15" s="1" t="s">
        <v>6</v>
      </c>
      <c r="B15" s="23">
        <f>B12 * B13</f>
        <v>20</v>
      </c>
    </row>
    <row r="17" spans="1:2" x14ac:dyDescent="0.3">
      <c r="A17" s="1" t="s">
        <v>133</v>
      </c>
      <c r="B17" s="6">
        <v>2</v>
      </c>
    </row>
    <row r="18" spans="1:2" x14ac:dyDescent="0.3">
      <c r="A18" s="1" t="s">
        <v>7</v>
      </c>
      <c r="B18" s="23">
        <f>4*B17</f>
        <v>8</v>
      </c>
    </row>
    <row r="19" spans="1:2" x14ac:dyDescent="0.3">
      <c r="A19" s="1" t="s">
        <v>8</v>
      </c>
      <c r="B19" s="23">
        <f>B17*B17</f>
        <v>4</v>
      </c>
    </row>
    <row r="21" spans="1:2" x14ac:dyDescent="0.3">
      <c r="A21" s="1" t="s">
        <v>9</v>
      </c>
      <c r="B21" s="24">
        <v>45344</v>
      </c>
    </row>
    <row r="22" spans="1:2" x14ac:dyDescent="0.3">
      <c r="A22" s="1" t="s">
        <v>10</v>
      </c>
      <c r="B22" s="24">
        <v>45382</v>
      </c>
    </row>
    <row r="23" spans="1:2" x14ac:dyDescent="0.3">
      <c r="A23" s="1" t="s">
        <v>11</v>
      </c>
      <c r="B23" s="2">
        <f>B22-B21</f>
        <v>38</v>
      </c>
    </row>
    <row r="25" spans="1:2" x14ac:dyDescent="0.3">
      <c r="A25" s="1" t="s">
        <v>12</v>
      </c>
      <c r="B25" s="16">
        <v>1000</v>
      </c>
    </row>
    <row r="26" spans="1:2" x14ac:dyDescent="0.3">
      <c r="A26" s="1" t="s">
        <v>13</v>
      </c>
      <c r="B26" s="25">
        <v>0.23</v>
      </c>
    </row>
    <row r="27" spans="1:2" x14ac:dyDescent="0.3">
      <c r="A27" s="1" t="s">
        <v>14</v>
      </c>
      <c r="B27" s="27">
        <f>B25 * B26</f>
        <v>230</v>
      </c>
    </row>
    <row r="28" spans="1:2" x14ac:dyDescent="0.3">
      <c r="A28" s="1" t="s">
        <v>15</v>
      </c>
      <c r="B28" s="27">
        <f>B25 + B27</f>
        <v>1230</v>
      </c>
    </row>
    <row r="30" spans="1:2" x14ac:dyDescent="0.3">
      <c r="A30" s="1" t="s">
        <v>16</v>
      </c>
      <c r="B30" s="16">
        <v>1000</v>
      </c>
    </row>
    <row r="31" spans="1:2" x14ac:dyDescent="0.3">
      <c r="A31" s="1" t="s">
        <v>17</v>
      </c>
      <c r="B31" s="25">
        <v>0.02</v>
      </c>
    </row>
    <row r="32" spans="1:2" x14ac:dyDescent="0.3">
      <c r="A32" s="1" t="s">
        <v>18</v>
      </c>
      <c r="B32" s="27">
        <f>B30 * B31</f>
        <v>20</v>
      </c>
    </row>
    <row r="33" spans="1:2" x14ac:dyDescent="0.3">
      <c r="A33" s="1" t="s">
        <v>19</v>
      </c>
      <c r="B33" s="27">
        <f>B30 + B32</f>
        <v>1020</v>
      </c>
    </row>
    <row r="35" spans="1:2" x14ac:dyDescent="0.3">
      <c r="A35" s="1" t="s">
        <v>20</v>
      </c>
      <c r="B35" s="16">
        <v>1000</v>
      </c>
    </row>
    <row r="36" spans="1:2" x14ac:dyDescent="0.3">
      <c r="A36" s="1" t="s">
        <v>21</v>
      </c>
      <c r="B36" s="26">
        <v>0.05</v>
      </c>
    </row>
    <row r="37" spans="1:2" x14ac:dyDescent="0.3">
      <c r="A37" s="1" t="s">
        <v>22</v>
      </c>
      <c r="B37" s="26">
        <v>0.1</v>
      </c>
    </row>
    <row r="38" spans="1:2" x14ac:dyDescent="0.3">
      <c r="A38" s="1" t="s">
        <v>23</v>
      </c>
      <c r="B38" s="27">
        <f>B35 * B36</f>
        <v>50</v>
      </c>
    </row>
    <row r="39" spans="1:2" x14ac:dyDescent="0.3">
      <c r="A39" s="1" t="s">
        <v>24</v>
      </c>
      <c r="B39" s="27">
        <f>B37 * B35</f>
        <v>100</v>
      </c>
    </row>
    <row r="40" spans="1:2" x14ac:dyDescent="0.3">
      <c r="A40" s="1" t="s">
        <v>25</v>
      </c>
      <c r="B40" s="27">
        <f>B35 - B38 - B39</f>
        <v>850</v>
      </c>
    </row>
    <row r="42" spans="1:2" x14ac:dyDescent="0.3">
      <c r="A42" s="1" t="s">
        <v>26</v>
      </c>
      <c r="B42" s="6">
        <v>7</v>
      </c>
    </row>
    <row r="43" spans="1:2" x14ac:dyDescent="0.3">
      <c r="A43" s="1" t="s">
        <v>27</v>
      </c>
      <c r="B43" s="6">
        <v>500</v>
      </c>
    </row>
    <row r="44" spans="1:2" x14ac:dyDescent="0.3">
      <c r="A44" s="1" t="s">
        <v>28</v>
      </c>
      <c r="B44" s="16">
        <v>1.7</v>
      </c>
    </row>
    <row r="45" spans="1:2" x14ac:dyDescent="0.3">
      <c r="A45" s="1" t="s">
        <v>29</v>
      </c>
      <c r="B45" s="23">
        <f>(B42*B43)/100</f>
        <v>35</v>
      </c>
    </row>
    <row r="46" spans="1:2" x14ac:dyDescent="0.3">
      <c r="A46" s="1" t="s">
        <v>30</v>
      </c>
      <c r="B46" s="27">
        <f>B45 * B44</f>
        <v>59.5</v>
      </c>
    </row>
    <row r="48" spans="1:2" x14ac:dyDescent="0.3">
      <c r="A48" s="1" t="s">
        <v>31</v>
      </c>
      <c r="B48" s="6">
        <v>1000</v>
      </c>
    </row>
    <row r="49" spans="1:2" x14ac:dyDescent="0.3">
      <c r="A49" s="1" t="s">
        <v>32</v>
      </c>
      <c r="B49" s="6">
        <v>5</v>
      </c>
    </row>
    <row r="50" spans="1:2" x14ac:dyDescent="0.3">
      <c r="A50" s="1" t="s">
        <v>33</v>
      </c>
      <c r="B50" s="28">
        <v>0.16</v>
      </c>
    </row>
    <row r="51" spans="1:2" x14ac:dyDescent="0.3">
      <c r="A51" s="1" t="s">
        <v>34</v>
      </c>
      <c r="B51" s="23">
        <f>B48 * B49</f>
        <v>5000</v>
      </c>
    </row>
    <row r="52" spans="1:2" x14ac:dyDescent="0.3">
      <c r="A52" s="1" t="s">
        <v>35</v>
      </c>
      <c r="B52" s="27">
        <f xml:space="preserve"> B51 * B50/1000</f>
        <v>0.8</v>
      </c>
    </row>
    <row r="54" spans="1:2" x14ac:dyDescent="0.3">
      <c r="A54" s="1" t="s">
        <v>36</v>
      </c>
      <c r="B54" s="6">
        <v>70</v>
      </c>
    </row>
    <row r="55" spans="1:2" x14ac:dyDescent="0.3">
      <c r="A55" s="1" t="s">
        <v>37</v>
      </c>
      <c r="B55" s="1">
        <v>1.78</v>
      </c>
    </row>
    <row r="56" spans="1:2" x14ac:dyDescent="0.3">
      <c r="A56" s="1" t="s">
        <v>38</v>
      </c>
      <c r="B56" s="23">
        <f>B54 / (B55^2)</f>
        <v>22.093170054286073</v>
      </c>
    </row>
  </sheetData>
  <printOptions headings="1" gridLine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BB0A-0664-42BE-9853-B05F3D65B33E}">
  <dimension ref="A3:E55"/>
  <sheetViews>
    <sheetView topLeftCell="A17" zoomScaleNormal="100" workbookViewId="0">
      <selection activeCell="C39" sqref="C39"/>
    </sheetView>
  </sheetViews>
  <sheetFormatPr defaultRowHeight="14.4" x14ac:dyDescent="0.3"/>
  <cols>
    <col min="1" max="1" width="25.88671875" customWidth="1"/>
    <col min="2" max="2" width="14.6640625" customWidth="1"/>
    <col min="3" max="3" width="14.33203125" customWidth="1"/>
    <col min="4" max="4" width="15.109375" customWidth="1"/>
    <col min="5" max="5" width="14.5546875" customWidth="1"/>
  </cols>
  <sheetData>
    <row r="3" spans="1:3" ht="34.5" customHeight="1" x14ac:dyDescent="0.3">
      <c r="A3" s="3" t="s">
        <v>39</v>
      </c>
      <c r="B3" s="4" t="s">
        <v>40</v>
      </c>
      <c r="C3" s="4" t="s">
        <v>41</v>
      </c>
    </row>
    <row r="4" spans="1:3" x14ac:dyDescent="0.3">
      <c r="A4" s="5" t="s">
        <v>42</v>
      </c>
      <c r="B4" s="6">
        <v>1.72</v>
      </c>
      <c r="C4" s="1">
        <f>B4*100</f>
        <v>172</v>
      </c>
    </row>
    <row r="5" spans="1:3" x14ac:dyDescent="0.3">
      <c r="A5" s="7" t="s">
        <v>43</v>
      </c>
      <c r="B5" s="6">
        <v>1.6</v>
      </c>
      <c r="C5" s="1">
        <f t="shared" ref="C5:C9" si="0">B5*100</f>
        <v>160</v>
      </c>
    </row>
    <row r="6" spans="1:3" x14ac:dyDescent="0.3">
      <c r="A6" s="5" t="s">
        <v>44</v>
      </c>
      <c r="B6" s="6">
        <v>1.58</v>
      </c>
      <c r="C6" s="1">
        <f t="shared" si="0"/>
        <v>158</v>
      </c>
    </row>
    <row r="7" spans="1:3" x14ac:dyDescent="0.3">
      <c r="A7" s="7" t="s">
        <v>45</v>
      </c>
      <c r="B7" s="6">
        <v>1.8</v>
      </c>
      <c r="C7" s="1">
        <f t="shared" si="0"/>
        <v>180</v>
      </c>
    </row>
    <row r="8" spans="1:3" x14ac:dyDescent="0.3">
      <c r="A8" s="5" t="s">
        <v>46</v>
      </c>
      <c r="B8" s="6">
        <v>1.52</v>
      </c>
      <c r="C8" s="1">
        <f t="shared" si="0"/>
        <v>152</v>
      </c>
    </row>
    <row r="9" spans="1:3" x14ac:dyDescent="0.3">
      <c r="A9" s="7" t="s">
        <v>47</v>
      </c>
      <c r="B9" s="6">
        <v>1.67</v>
      </c>
      <c r="C9" s="1">
        <f t="shared" si="0"/>
        <v>167</v>
      </c>
    </row>
    <row r="12" spans="1:3" ht="34.5" customHeight="1" x14ac:dyDescent="0.3">
      <c r="A12" s="4" t="s">
        <v>48</v>
      </c>
      <c r="B12" s="4" t="s">
        <v>49</v>
      </c>
      <c r="C12" s="4" t="s">
        <v>50</v>
      </c>
    </row>
    <row r="13" spans="1:3" x14ac:dyDescent="0.3">
      <c r="A13" s="1" t="s">
        <v>51</v>
      </c>
      <c r="B13" s="8">
        <v>3.5</v>
      </c>
      <c r="C13" s="1">
        <f>B13*2.54</f>
        <v>8.89</v>
      </c>
    </row>
    <row r="14" spans="1:3" x14ac:dyDescent="0.3">
      <c r="A14" s="1" t="s">
        <v>52</v>
      </c>
      <c r="B14" s="8">
        <v>4</v>
      </c>
      <c r="C14" s="1">
        <f t="shared" ref="C14:C23" si="1">B14*2.54</f>
        <v>10.16</v>
      </c>
    </row>
    <row r="15" spans="1:3" x14ac:dyDescent="0.3">
      <c r="A15" s="1" t="s">
        <v>53</v>
      </c>
      <c r="B15" s="8">
        <v>5.8</v>
      </c>
      <c r="C15" s="1">
        <f t="shared" si="1"/>
        <v>14.731999999999999</v>
      </c>
    </row>
    <row r="16" spans="1:3" x14ac:dyDescent="0.3">
      <c r="A16" s="1" t="s">
        <v>54</v>
      </c>
      <c r="B16" s="8">
        <v>6.1</v>
      </c>
      <c r="C16" s="1">
        <f t="shared" si="1"/>
        <v>15.494</v>
      </c>
    </row>
    <row r="17" spans="1:4" x14ac:dyDescent="0.3">
      <c r="A17" s="1" t="s">
        <v>55</v>
      </c>
      <c r="B17" s="8">
        <v>6.4</v>
      </c>
      <c r="C17" s="1">
        <f t="shared" si="1"/>
        <v>16.256</v>
      </c>
    </row>
    <row r="18" spans="1:4" x14ac:dyDescent="0.3">
      <c r="A18" s="1" t="s">
        <v>56</v>
      </c>
      <c r="B18" s="8">
        <v>10.1</v>
      </c>
      <c r="C18" s="1">
        <f t="shared" si="1"/>
        <v>25.654</v>
      </c>
    </row>
    <row r="19" spans="1:4" x14ac:dyDescent="0.3">
      <c r="A19" s="1" t="s">
        <v>57</v>
      </c>
      <c r="B19" s="8">
        <v>12.3</v>
      </c>
      <c r="C19" s="1">
        <f t="shared" si="1"/>
        <v>31.242000000000001</v>
      </c>
    </row>
    <row r="20" spans="1:4" x14ac:dyDescent="0.3">
      <c r="A20" s="1" t="s">
        <v>58</v>
      </c>
      <c r="B20" s="8">
        <v>15.6</v>
      </c>
      <c r="C20" s="1">
        <f t="shared" si="1"/>
        <v>39.624000000000002</v>
      </c>
    </row>
    <row r="21" spans="1:4" x14ac:dyDescent="0.3">
      <c r="A21" s="1" t="s">
        <v>59</v>
      </c>
      <c r="B21" s="8">
        <v>32</v>
      </c>
      <c r="C21" s="1">
        <f t="shared" si="1"/>
        <v>81.28</v>
      </c>
    </row>
    <row r="22" spans="1:4" x14ac:dyDescent="0.3">
      <c r="A22" s="1" t="s">
        <v>60</v>
      </c>
      <c r="B22" s="8">
        <v>43</v>
      </c>
      <c r="C22" s="1">
        <f t="shared" si="1"/>
        <v>109.22</v>
      </c>
    </row>
    <row r="23" spans="1:4" x14ac:dyDescent="0.3">
      <c r="A23" s="1" t="s">
        <v>61</v>
      </c>
      <c r="B23" s="8">
        <v>65</v>
      </c>
      <c r="C23" s="1">
        <f t="shared" si="1"/>
        <v>165.1</v>
      </c>
    </row>
    <row r="24" spans="1:4" x14ac:dyDescent="0.3">
      <c r="B24" s="9"/>
    </row>
    <row r="26" spans="1:4" s="10" customFormat="1" ht="32.25" customHeight="1" x14ac:dyDescent="0.3">
      <c r="A26" s="4" t="s">
        <v>62</v>
      </c>
      <c r="B26" s="4" t="s">
        <v>63</v>
      </c>
      <c r="C26" s="4" t="s">
        <v>64</v>
      </c>
      <c r="D26" s="4" t="s">
        <v>65</v>
      </c>
    </row>
    <row r="27" spans="1:4" x14ac:dyDescent="0.3">
      <c r="A27" s="1" t="s">
        <v>66</v>
      </c>
      <c r="B27" s="1">
        <v>20</v>
      </c>
      <c r="C27" s="16">
        <v>12</v>
      </c>
      <c r="D27" s="16">
        <f>B27*C27</f>
        <v>240</v>
      </c>
    </row>
    <row r="28" spans="1:4" x14ac:dyDescent="0.3">
      <c r="A28" s="1" t="s">
        <v>67</v>
      </c>
      <c r="B28" s="1">
        <v>34</v>
      </c>
      <c r="C28" s="16">
        <v>2.5</v>
      </c>
      <c r="D28" s="16">
        <f t="shared" ref="D28:D31" si="2">B28*C28</f>
        <v>85</v>
      </c>
    </row>
    <row r="29" spans="1:4" x14ac:dyDescent="0.3">
      <c r="A29" s="1" t="s">
        <v>68</v>
      </c>
      <c r="B29" s="1">
        <v>26</v>
      </c>
      <c r="C29" s="16">
        <v>1.5</v>
      </c>
      <c r="D29" s="16">
        <f t="shared" si="2"/>
        <v>39</v>
      </c>
    </row>
    <row r="30" spans="1:4" x14ac:dyDescent="0.3">
      <c r="A30" s="1" t="s">
        <v>69</v>
      </c>
      <c r="B30" s="1">
        <v>67</v>
      </c>
      <c r="C30" s="16">
        <v>2.5</v>
      </c>
      <c r="D30" s="16">
        <f t="shared" si="2"/>
        <v>167.5</v>
      </c>
    </row>
    <row r="31" spans="1:4" x14ac:dyDescent="0.3">
      <c r="A31" s="1" t="s">
        <v>70</v>
      </c>
      <c r="B31" s="1">
        <v>45</v>
      </c>
      <c r="C31" s="16">
        <v>3</v>
      </c>
      <c r="D31" s="16">
        <f t="shared" si="2"/>
        <v>135</v>
      </c>
    </row>
    <row r="34" spans="1:5" s="10" customFormat="1" ht="37.5" customHeight="1" x14ac:dyDescent="0.3">
      <c r="A34" s="4" t="s">
        <v>71</v>
      </c>
      <c r="B34" s="4" t="s">
        <v>72</v>
      </c>
      <c r="C34" s="4" t="s">
        <v>73</v>
      </c>
      <c r="D34" s="4" t="s">
        <v>74</v>
      </c>
      <c r="E34" s="4" t="s">
        <v>75</v>
      </c>
    </row>
    <row r="35" spans="1:5" x14ac:dyDescent="0.3">
      <c r="A35" s="1" t="s">
        <v>76</v>
      </c>
      <c r="B35" s="8">
        <v>4</v>
      </c>
      <c r="C35" s="8">
        <v>2.5</v>
      </c>
      <c r="D35" s="1">
        <f>2*(B35+C35)</f>
        <v>13</v>
      </c>
      <c r="E35" s="1">
        <f>B35*C35</f>
        <v>10</v>
      </c>
    </row>
    <row r="36" spans="1:5" x14ac:dyDescent="0.3">
      <c r="A36" s="1" t="s">
        <v>77</v>
      </c>
      <c r="B36" s="8">
        <v>3</v>
      </c>
      <c r="C36" s="8">
        <v>2.5</v>
      </c>
      <c r="D36" s="1">
        <f t="shared" ref="D36:D38" si="3">2*(B36+C36)</f>
        <v>11</v>
      </c>
      <c r="E36" s="1">
        <f t="shared" ref="E36:E38" si="4">B36*C36</f>
        <v>7.5</v>
      </c>
    </row>
    <row r="37" spans="1:5" x14ac:dyDescent="0.3">
      <c r="A37" s="1" t="s">
        <v>78</v>
      </c>
      <c r="B37" s="8">
        <v>5.5</v>
      </c>
      <c r="C37" s="8">
        <v>4</v>
      </c>
      <c r="D37" s="1">
        <f t="shared" si="3"/>
        <v>19</v>
      </c>
      <c r="E37" s="1">
        <f t="shared" si="4"/>
        <v>22</v>
      </c>
    </row>
    <row r="38" spans="1:5" x14ac:dyDescent="0.3">
      <c r="A38" s="1" t="s">
        <v>79</v>
      </c>
      <c r="B38" s="8">
        <v>4</v>
      </c>
      <c r="C38" s="8">
        <v>3.5</v>
      </c>
      <c r="D38" s="1">
        <f t="shared" si="3"/>
        <v>15</v>
      </c>
      <c r="E38" s="1">
        <f t="shared" si="4"/>
        <v>14</v>
      </c>
    </row>
    <row r="41" spans="1:5" s="11" customFormat="1" ht="27" customHeight="1" x14ac:dyDescent="0.3">
      <c r="A41" s="3" t="s">
        <v>80</v>
      </c>
      <c r="B41" s="3" t="s">
        <v>12</v>
      </c>
      <c r="C41" s="3" t="s">
        <v>81</v>
      </c>
      <c r="D41" s="3" t="s">
        <v>82</v>
      </c>
      <c r="E41" s="3" t="s">
        <v>83</v>
      </c>
    </row>
    <row r="42" spans="1:5" x14ac:dyDescent="0.3">
      <c r="A42" s="1" t="s">
        <v>84</v>
      </c>
      <c r="B42" s="16">
        <v>2.34</v>
      </c>
      <c r="C42" s="1">
        <v>0.06</v>
      </c>
      <c r="D42" s="16">
        <f>B42*C42</f>
        <v>0.1404</v>
      </c>
      <c r="E42" s="16">
        <f>B42+D42</f>
        <v>2.4803999999999999</v>
      </c>
    </row>
    <row r="43" spans="1:5" x14ac:dyDescent="0.3">
      <c r="A43" s="1" t="s">
        <v>85</v>
      </c>
      <c r="B43" s="16">
        <v>3.56</v>
      </c>
      <c r="C43" s="1">
        <v>0.13</v>
      </c>
      <c r="D43" s="16">
        <f t="shared" ref="D43:D54" si="5">B43*C43</f>
        <v>0.46280000000000004</v>
      </c>
      <c r="E43" s="16">
        <f t="shared" ref="E43:E54" si="6">B43+D43</f>
        <v>4.0228000000000002</v>
      </c>
    </row>
    <row r="44" spans="1:5" x14ac:dyDescent="0.3">
      <c r="A44" s="1" t="s">
        <v>86</v>
      </c>
      <c r="B44" s="16">
        <v>7.8</v>
      </c>
      <c r="C44" s="1">
        <v>0.06</v>
      </c>
      <c r="D44" s="16">
        <f t="shared" si="5"/>
        <v>0.46799999999999997</v>
      </c>
      <c r="E44" s="16">
        <f t="shared" si="6"/>
        <v>8.2680000000000007</v>
      </c>
    </row>
    <row r="45" spans="1:5" x14ac:dyDescent="0.3">
      <c r="A45" s="1" t="s">
        <v>87</v>
      </c>
      <c r="B45" s="16">
        <v>4.5</v>
      </c>
      <c r="C45" s="1">
        <v>0.13</v>
      </c>
      <c r="D45" s="16">
        <f t="shared" si="5"/>
        <v>0.58499999999999996</v>
      </c>
      <c r="E45" s="16">
        <f t="shared" si="6"/>
        <v>5.085</v>
      </c>
    </row>
    <row r="46" spans="1:5" x14ac:dyDescent="0.3">
      <c r="A46" s="1" t="s">
        <v>88</v>
      </c>
      <c r="B46" s="16">
        <v>2.2999999999999998</v>
      </c>
      <c r="C46" s="1">
        <v>0.06</v>
      </c>
      <c r="D46" s="16">
        <f t="shared" si="5"/>
        <v>0.13799999999999998</v>
      </c>
      <c r="E46" s="16">
        <f t="shared" si="6"/>
        <v>2.4379999999999997</v>
      </c>
    </row>
    <row r="47" spans="1:5" x14ac:dyDescent="0.3">
      <c r="A47" s="1" t="s">
        <v>89</v>
      </c>
      <c r="B47" s="16">
        <v>5.8</v>
      </c>
      <c r="C47" s="1">
        <v>0.06</v>
      </c>
      <c r="D47" s="16">
        <f t="shared" si="5"/>
        <v>0.34799999999999998</v>
      </c>
      <c r="E47" s="16">
        <f t="shared" si="6"/>
        <v>6.1479999999999997</v>
      </c>
    </row>
    <row r="48" spans="1:5" x14ac:dyDescent="0.3">
      <c r="A48" s="1" t="s">
        <v>90</v>
      </c>
      <c r="B48" s="16">
        <v>3.9</v>
      </c>
      <c r="C48" s="1">
        <v>0.06</v>
      </c>
      <c r="D48" s="16">
        <f t="shared" si="5"/>
        <v>0.23399999999999999</v>
      </c>
      <c r="E48" s="16">
        <f t="shared" si="6"/>
        <v>4.1340000000000003</v>
      </c>
    </row>
    <row r="49" spans="1:5" x14ac:dyDescent="0.3">
      <c r="A49" s="1" t="s">
        <v>91</v>
      </c>
      <c r="B49" s="16">
        <v>1.78</v>
      </c>
      <c r="C49" s="1">
        <v>0.06</v>
      </c>
      <c r="D49" s="16">
        <f t="shared" si="5"/>
        <v>0.10679999999999999</v>
      </c>
      <c r="E49" s="16">
        <f t="shared" si="6"/>
        <v>1.8868</v>
      </c>
    </row>
    <row r="50" spans="1:5" x14ac:dyDescent="0.3">
      <c r="A50" s="1" t="s">
        <v>92</v>
      </c>
      <c r="B50" s="16">
        <v>4.2</v>
      </c>
      <c r="C50" s="1">
        <v>0.13</v>
      </c>
      <c r="D50" s="16">
        <f t="shared" si="5"/>
        <v>0.54600000000000004</v>
      </c>
      <c r="E50" s="16">
        <f t="shared" si="6"/>
        <v>4.7460000000000004</v>
      </c>
    </row>
    <row r="51" spans="1:5" x14ac:dyDescent="0.3">
      <c r="A51" s="1" t="s">
        <v>93</v>
      </c>
      <c r="B51" s="16">
        <v>2.2999999999999998</v>
      </c>
      <c r="C51" s="1">
        <v>0.06</v>
      </c>
      <c r="D51" s="16">
        <f t="shared" si="5"/>
        <v>0.13799999999999998</v>
      </c>
      <c r="E51" s="16">
        <f t="shared" si="6"/>
        <v>2.4379999999999997</v>
      </c>
    </row>
    <row r="52" spans="1:5" x14ac:dyDescent="0.3">
      <c r="A52" s="1" t="s">
        <v>94</v>
      </c>
      <c r="B52" s="16">
        <v>1.4</v>
      </c>
      <c r="C52" s="1">
        <v>0.23</v>
      </c>
      <c r="D52" s="16">
        <f t="shared" si="5"/>
        <v>0.32200000000000001</v>
      </c>
      <c r="E52" s="16">
        <f t="shared" si="6"/>
        <v>1.722</v>
      </c>
    </row>
    <row r="53" spans="1:5" x14ac:dyDescent="0.3">
      <c r="A53" s="1" t="s">
        <v>95</v>
      </c>
      <c r="B53" s="16">
        <v>3.45</v>
      </c>
      <c r="C53" s="1">
        <v>0.23</v>
      </c>
      <c r="D53" s="16">
        <f t="shared" si="5"/>
        <v>0.79350000000000009</v>
      </c>
      <c r="E53" s="16">
        <f t="shared" si="6"/>
        <v>4.2435</v>
      </c>
    </row>
    <row r="54" spans="1:5" x14ac:dyDescent="0.3">
      <c r="A54" s="1" t="s">
        <v>96</v>
      </c>
      <c r="B54" s="16">
        <v>8.99</v>
      </c>
      <c r="C54" s="1">
        <v>0.23</v>
      </c>
      <c r="D54" s="16">
        <f t="shared" si="5"/>
        <v>2.0677000000000003</v>
      </c>
      <c r="E54" s="16">
        <f t="shared" si="6"/>
        <v>11.057700000000001</v>
      </c>
    </row>
    <row r="55" spans="1:5" x14ac:dyDescent="0.3">
      <c r="B55" s="12"/>
      <c r="C55" s="13"/>
    </row>
  </sheetData>
  <pageMargins left="0.70866141732283472" right="0.70866141732283472" top="0.74803149606299213" bottom="0.74803149606299213" header="0.33" footer="0.31496062992125984"/>
  <pageSetup paperSize="9" orientation="portrait" r:id="rId1"/>
  <rowBreaks count="2" manualBreakCount="2">
    <brk id="38" max="16383" man="1"/>
    <brk id="5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A906-DA01-427E-AEC2-E02BF702292C}">
  <dimension ref="A1:E41"/>
  <sheetViews>
    <sheetView tabSelected="1" workbookViewId="0">
      <selection activeCell="C3" sqref="C3:C8"/>
    </sheetView>
  </sheetViews>
  <sheetFormatPr defaultRowHeight="14.4" x14ac:dyDescent="0.3"/>
  <cols>
    <col min="1" max="4" width="18.33203125" customWidth="1"/>
    <col min="5" max="5" width="17.5546875" customWidth="1"/>
  </cols>
  <sheetData>
    <row r="1" spans="1:5" x14ac:dyDescent="0.3">
      <c r="A1" s="1" t="s">
        <v>97</v>
      </c>
      <c r="B1" s="38">
        <v>0.02</v>
      </c>
      <c r="C1" s="39"/>
      <c r="D1" s="40"/>
    </row>
    <row r="2" spans="1:5" ht="49.5" customHeight="1" x14ac:dyDescent="0.3">
      <c r="A2" s="4" t="s">
        <v>98</v>
      </c>
      <c r="B2" s="4" t="s">
        <v>99</v>
      </c>
      <c r="C2" s="4" t="s">
        <v>100</v>
      </c>
      <c r="D2" s="4" t="s">
        <v>101</v>
      </c>
    </row>
    <row r="3" spans="1:5" x14ac:dyDescent="0.3">
      <c r="A3" s="5" t="s">
        <v>42</v>
      </c>
      <c r="B3" s="16">
        <v>1000</v>
      </c>
      <c r="C3" s="14">
        <f>B3*B$1</f>
        <v>20</v>
      </c>
      <c r="D3" s="17">
        <f>B3+C3</f>
        <v>1020</v>
      </c>
    </row>
    <row r="4" spans="1:5" x14ac:dyDescent="0.3">
      <c r="A4" s="7" t="s">
        <v>43</v>
      </c>
      <c r="B4" s="16">
        <v>500</v>
      </c>
      <c r="C4" s="14">
        <f t="shared" ref="C4:C8" si="0">B4*B$1</f>
        <v>10</v>
      </c>
      <c r="D4" s="17">
        <f t="shared" ref="D4:D8" si="1">B4+C4</f>
        <v>510</v>
      </c>
    </row>
    <row r="5" spans="1:5" x14ac:dyDescent="0.3">
      <c r="A5" s="5" t="s">
        <v>44</v>
      </c>
      <c r="B5" s="16">
        <v>45000</v>
      </c>
      <c r="C5" s="14">
        <f t="shared" si="0"/>
        <v>900</v>
      </c>
      <c r="D5" s="17">
        <f t="shared" si="1"/>
        <v>45900</v>
      </c>
    </row>
    <row r="6" spans="1:5" x14ac:dyDescent="0.3">
      <c r="A6" s="7" t="s">
        <v>45</v>
      </c>
      <c r="B6" s="16">
        <v>1250</v>
      </c>
      <c r="C6" s="14">
        <f t="shared" si="0"/>
        <v>25</v>
      </c>
      <c r="D6" s="17">
        <f t="shared" si="1"/>
        <v>1275</v>
      </c>
    </row>
    <row r="7" spans="1:5" x14ac:dyDescent="0.3">
      <c r="A7" s="5" t="s">
        <v>46</v>
      </c>
      <c r="B7" s="16">
        <v>23470</v>
      </c>
      <c r="C7" s="14">
        <f t="shared" si="0"/>
        <v>469.40000000000003</v>
      </c>
      <c r="D7" s="17">
        <f t="shared" si="1"/>
        <v>23939.4</v>
      </c>
    </row>
    <row r="8" spans="1:5" x14ac:dyDescent="0.3">
      <c r="A8" s="7" t="s">
        <v>47</v>
      </c>
      <c r="B8" s="16">
        <v>500000</v>
      </c>
      <c r="C8" s="14">
        <f t="shared" si="0"/>
        <v>10000</v>
      </c>
      <c r="D8" s="17">
        <f t="shared" si="1"/>
        <v>510000</v>
      </c>
    </row>
    <row r="11" spans="1:5" x14ac:dyDescent="0.3">
      <c r="A11" s="1" t="s">
        <v>102</v>
      </c>
      <c r="B11" s="41">
        <v>0.11</v>
      </c>
      <c r="C11" s="41"/>
      <c r="D11" s="41"/>
      <c r="E11" s="41"/>
    </row>
    <row r="12" spans="1:5" x14ac:dyDescent="0.3">
      <c r="A12" s="1" t="s">
        <v>103</v>
      </c>
      <c r="B12" s="41">
        <v>0.15</v>
      </c>
      <c r="C12" s="41"/>
      <c r="D12" s="41"/>
      <c r="E12" s="41"/>
    </row>
    <row r="13" spans="1:5" ht="28.8" x14ac:dyDescent="0.3">
      <c r="A13" s="4" t="s">
        <v>104</v>
      </c>
      <c r="B13" s="4" t="s">
        <v>105</v>
      </c>
      <c r="C13" s="4" t="s">
        <v>106</v>
      </c>
      <c r="D13" s="4" t="s">
        <v>107</v>
      </c>
      <c r="E13" s="4" t="s">
        <v>108</v>
      </c>
    </row>
    <row r="14" spans="1:5" x14ac:dyDescent="0.3">
      <c r="A14" s="5" t="s">
        <v>42</v>
      </c>
      <c r="B14" s="16">
        <v>1000</v>
      </c>
      <c r="C14" s="16">
        <f>B14 * B$11</f>
        <v>110</v>
      </c>
      <c r="D14" s="16">
        <f>B14*B$12</f>
        <v>150</v>
      </c>
      <c r="E14" s="16">
        <f>B14-C14-D14</f>
        <v>740</v>
      </c>
    </row>
    <row r="15" spans="1:5" x14ac:dyDescent="0.3">
      <c r="A15" s="7" t="s">
        <v>43</v>
      </c>
      <c r="B15" s="16">
        <v>550</v>
      </c>
      <c r="C15" s="16">
        <f t="shared" ref="C15:C19" si="2">B15 * B$11</f>
        <v>60.5</v>
      </c>
      <c r="D15" s="16">
        <f t="shared" ref="D15:D19" si="3">B15*B$12</f>
        <v>82.5</v>
      </c>
      <c r="E15" s="16">
        <f t="shared" ref="E15:E19" si="4">B15-C15-D15</f>
        <v>407</v>
      </c>
    </row>
    <row r="16" spans="1:5" x14ac:dyDescent="0.3">
      <c r="A16" s="5" t="s">
        <v>44</v>
      </c>
      <c r="B16" s="16">
        <v>650</v>
      </c>
      <c r="C16" s="16">
        <f t="shared" si="2"/>
        <v>71.5</v>
      </c>
      <c r="D16" s="16">
        <f t="shared" si="3"/>
        <v>97.5</v>
      </c>
      <c r="E16" s="16">
        <f t="shared" si="4"/>
        <v>481</v>
      </c>
    </row>
    <row r="17" spans="1:5" x14ac:dyDescent="0.3">
      <c r="A17" s="7" t="s">
        <v>45</v>
      </c>
      <c r="B17" s="16">
        <v>1250</v>
      </c>
      <c r="C17" s="16">
        <f t="shared" si="2"/>
        <v>137.5</v>
      </c>
      <c r="D17" s="16">
        <f t="shared" si="3"/>
        <v>187.5</v>
      </c>
      <c r="E17" s="16">
        <f t="shared" si="4"/>
        <v>925</v>
      </c>
    </row>
    <row r="18" spans="1:5" x14ac:dyDescent="0.3">
      <c r="A18" s="5" t="s">
        <v>46</v>
      </c>
      <c r="B18" s="16">
        <v>1470</v>
      </c>
      <c r="C18" s="16">
        <f t="shared" si="2"/>
        <v>161.69999999999999</v>
      </c>
      <c r="D18" s="16">
        <f t="shared" si="3"/>
        <v>220.5</v>
      </c>
      <c r="E18" s="16">
        <f t="shared" si="4"/>
        <v>1087.8</v>
      </c>
    </row>
    <row r="19" spans="1:5" x14ac:dyDescent="0.3">
      <c r="A19" s="7" t="s">
        <v>47</v>
      </c>
      <c r="B19" s="16">
        <v>980</v>
      </c>
      <c r="C19" s="16">
        <f t="shared" si="2"/>
        <v>107.8</v>
      </c>
      <c r="D19" s="16">
        <f t="shared" si="3"/>
        <v>147</v>
      </c>
      <c r="E19" s="16">
        <f t="shared" si="4"/>
        <v>725.2</v>
      </c>
    </row>
    <row r="22" spans="1:5" x14ac:dyDescent="0.3">
      <c r="A22" s="42" t="s">
        <v>109</v>
      </c>
      <c r="B22" s="42"/>
      <c r="C22" s="43">
        <v>5.5</v>
      </c>
      <c r="D22" s="43"/>
    </row>
    <row r="23" spans="1:5" x14ac:dyDescent="0.3">
      <c r="A23" s="42" t="s">
        <v>28</v>
      </c>
      <c r="B23" s="42"/>
      <c r="C23" s="44">
        <v>1.56</v>
      </c>
      <c r="D23" s="44"/>
    </row>
    <row r="24" spans="1:5" ht="42" customHeight="1" x14ac:dyDescent="0.3">
      <c r="A24" s="4" t="s">
        <v>110</v>
      </c>
      <c r="B24" s="4" t="s">
        <v>27</v>
      </c>
      <c r="C24" s="4" t="s">
        <v>29</v>
      </c>
      <c r="D24" s="4" t="s">
        <v>30</v>
      </c>
    </row>
    <row r="25" spans="1:5" x14ac:dyDescent="0.3">
      <c r="A25" s="1" t="s">
        <v>111</v>
      </c>
      <c r="B25" s="18">
        <v>1045</v>
      </c>
      <c r="C25" s="6">
        <f>(C$22*B25)/100</f>
        <v>57.475000000000001</v>
      </c>
      <c r="D25" s="16">
        <f>C25*C$23</f>
        <v>89.661000000000001</v>
      </c>
    </row>
    <row r="26" spans="1:5" x14ac:dyDescent="0.3">
      <c r="A26" s="1" t="s">
        <v>112</v>
      </c>
      <c r="B26" s="19">
        <v>1237</v>
      </c>
      <c r="C26" s="6">
        <f t="shared" ref="C26:C32" si="5">(C$22*B26)/100</f>
        <v>68.034999999999997</v>
      </c>
      <c r="D26" s="16">
        <f t="shared" ref="D26:D32" si="6">C26*C$23</f>
        <v>106.13459999999999</v>
      </c>
    </row>
    <row r="27" spans="1:5" x14ac:dyDescent="0.3">
      <c r="A27" s="1" t="s">
        <v>113</v>
      </c>
      <c r="B27" s="19">
        <v>967</v>
      </c>
      <c r="C27" s="6">
        <f t="shared" si="5"/>
        <v>53.185000000000002</v>
      </c>
      <c r="D27" s="16">
        <f t="shared" si="6"/>
        <v>82.968600000000009</v>
      </c>
    </row>
    <row r="28" spans="1:5" x14ac:dyDescent="0.3">
      <c r="A28" s="1" t="s">
        <v>114</v>
      </c>
      <c r="B28" s="19">
        <v>1467</v>
      </c>
      <c r="C28" s="6">
        <f t="shared" si="5"/>
        <v>80.685000000000002</v>
      </c>
      <c r="D28" s="16">
        <f t="shared" si="6"/>
        <v>125.86860000000001</v>
      </c>
    </row>
    <row r="29" spans="1:5" x14ac:dyDescent="0.3">
      <c r="A29" s="1" t="s">
        <v>115</v>
      </c>
      <c r="B29" s="19">
        <v>1520</v>
      </c>
      <c r="C29" s="6">
        <f t="shared" si="5"/>
        <v>83.6</v>
      </c>
      <c r="D29" s="16">
        <f t="shared" si="6"/>
        <v>130.416</v>
      </c>
    </row>
    <row r="30" spans="1:5" x14ac:dyDescent="0.3">
      <c r="A30" s="1" t="s">
        <v>116</v>
      </c>
      <c r="B30" s="19">
        <v>1073</v>
      </c>
      <c r="C30" s="6">
        <f t="shared" si="5"/>
        <v>59.015000000000001</v>
      </c>
      <c r="D30" s="16">
        <f t="shared" si="6"/>
        <v>92.063400000000001</v>
      </c>
    </row>
    <row r="31" spans="1:5" x14ac:dyDescent="0.3">
      <c r="A31" s="1" t="s">
        <v>117</v>
      </c>
      <c r="B31" s="19">
        <v>1289</v>
      </c>
      <c r="C31" s="6">
        <f t="shared" si="5"/>
        <v>70.894999999999996</v>
      </c>
      <c r="D31" s="16">
        <f t="shared" si="6"/>
        <v>110.5962</v>
      </c>
    </row>
    <row r="32" spans="1:5" x14ac:dyDescent="0.3">
      <c r="A32" s="1" t="s">
        <v>118</v>
      </c>
      <c r="B32" s="19">
        <v>1787</v>
      </c>
      <c r="C32" s="6">
        <f t="shared" si="5"/>
        <v>98.284999999999997</v>
      </c>
      <c r="D32" s="16">
        <f t="shared" si="6"/>
        <v>153.3246</v>
      </c>
    </row>
    <row r="35" spans="1:5" x14ac:dyDescent="0.3">
      <c r="A35" s="15" t="s">
        <v>119</v>
      </c>
      <c r="B35" s="35" t="s">
        <v>33</v>
      </c>
      <c r="C35" s="36"/>
      <c r="D35" s="37"/>
      <c r="E35" s="16">
        <v>0.17</v>
      </c>
    </row>
    <row r="36" spans="1:5" ht="57" customHeight="1" x14ac:dyDescent="0.3">
      <c r="A36" s="4" t="s">
        <v>48</v>
      </c>
      <c r="B36" s="4" t="s">
        <v>120</v>
      </c>
      <c r="C36" s="4" t="s">
        <v>121</v>
      </c>
      <c r="D36" s="4" t="s">
        <v>122</v>
      </c>
      <c r="E36" s="4" t="s">
        <v>35</v>
      </c>
    </row>
    <row r="37" spans="1:5" x14ac:dyDescent="0.3">
      <c r="A37" s="1" t="s">
        <v>123</v>
      </c>
      <c r="B37" s="6">
        <v>2000</v>
      </c>
      <c r="C37" s="6">
        <v>80</v>
      </c>
      <c r="D37" s="6">
        <f>B37*C37</f>
        <v>160000</v>
      </c>
      <c r="E37" s="16">
        <f>D37*E$35</f>
        <v>27200.000000000004</v>
      </c>
    </row>
    <row r="38" spans="1:5" x14ac:dyDescent="0.3">
      <c r="A38" s="1" t="s">
        <v>124</v>
      </c>
      <c r="B38" s="6">
        <v>170</v>
      </c>
      <c r="C38" s="6">
        <v>744</v>
      </c>
      <c r="D38" s="6">
        <f t="shared" ref="D38:D41" si="7">B38*C38</f>
        <v>126480</v>
      </c>
      <c r="E38" s="16">
        <f t="shared" ref="E38:E41" si="8">D38*E$35</f>
        <v>21501.600000000002</v>
      </c>
    </row>
    <row r="39" spans="1:5" x14ac:dyDescent="0.3">
      <c r="A39" s="1" t="s">
        <v>125</v>
      </c>
      <c r="B39" s="6">
        <v>300</v>
      </c>
      <c r="C39" s="6">
        <v>120</v>
      </c>
      <c r="D39" s="6">
        <f t="shared" si="7"/>
        <v>36000</v>
      </c>
      <c r="E39" s="16">
        <f t="shared" si="8"/>
        <v>6120</v>
      </c>
    </row>
    <row r="40" spans="1:5" x14ac:dyDescent="0.3">
      <c r="A40" s="1" t="s">
        <v>126</v>
      </c>
      <c r="B40" s="6">
        <v>110</v>
      </c>
      <c r="C40" s="6">
        <v>744</v>
      </c>
      <c r="D40" s="6">
        <f t="shared" si="7"/>
        <v>81840</v>
      </c>
      <c r="E40" s="16">
        <f t="shared" si="8"/>
        <v>13912.800000000001</v>
      </c>
    </row>
    <row r="41" spans="1:5" x14ac:dyDescent="0.3">
      <c r="A41" s="1" t="s">
        <v>127</v>
      </c>
      <c r="B41" s="6">
        <v>900</v>
      </c>
      <c r="C41" s="6">
        <v>6</v>
      </c>
      <c r="D41" s="6">
        <f t="shared" si="7"/>
        <v>5400</v>
      </c>
      <c r="E41" s="16">
        <f t="shared" si="8"/>
        <v>918.00000000000011</v>
      </c>
    </row>
  </sheetData>
  <mergeCells count="8">
    <mergeCell ref="B35:D35"/>
    <mergeCell ref="B1:D1"/>
    <mergeCell ref="B11:E11"/>
    <mergeCell ref="B12:E12"/>
    <mergeCell ref="A22:B22"/>
    <mergeCell ref="C22:D22"/>
    <mergeCell ref="A23:B23"/>
    <mergeCell ref="C23:D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BC34-21B0-45BE-A8FD-A4FED73B22F0}">
  <dimension ref="A2:J13"/>
  <sheetViews>
    <sheetView workbookViewId="0">
      <selection activeCell="B6" sqref="B6"/>
    </sheetView>
  </sheetViews>
  <sheetFormatPr defaultRowHeight="14.4" x14ac:dyDescent="0.3"/>
  <cols>
    <col min="1" max="1" width="7.88671875" customWidth="1"/>
    <col min="2" max="10" width="6.44140625" customWidth="1"/>
  </cols>
  <sheetData>
    <row r="2" spans="1:10" x14ac:dyDescent="0.3">
      <c r="A2" t="s">
        <v>128</v>
      </c>
    </row>
    <row r="4" spans="1:10" ht="22.5" customHeight="1" x14ac:dyDescent="0.3">
      <c r="A4" s="29" t="s">
        <v>129</v>
      </c>
      <c r="B4" s="30">
        <v>1</v>
      </c>
      <c r="C4" s="30">
        <v>2</v>
      </c>
      <c r="D4" s="30">
        <v>3</v>
      </c>
      <c r="E4" s="30">
        <v>4</v>
      </c>
      <c r="F4" s="30">
        <v>5</v>
      </c>
      <c r="G4" s="30">
        <v>6</v>
      </c>
      <c r="H4" s="30">
        <v>7</v>
      </c>
      <c r="I4" s="30">
        <v>8</v>
      </c>
      <c r="J4" s="31">
        <v>9</v>
      </c>
    </row>
    <row r="5" spans="1:10" ht="22.5" customHeight="1" x14ac:dyDescent="0.3">
      <c r="A5" s="32">
        <v>1</v>
      </c>
      <c r="B5" s="21">
        <f>$A5*B$4</f>
        <v>1</v>
      </c>
      <c r="C5" s="21">
        <f t="shared" ref="C5:J13" si="0">$A5*C$4</f>
        <v>2</v>
      </c>
      <c r="D5" s="21">
        <f t="shared" si="0"/>
        <v>3</v>
      </c>
      <c r="E5" s="21">
        <f t="shared" si="0"/>
        <v>4</v>
      </c>
      <c r="F5" s="21">
        <f t="shared" si="0"/>
        <v>5</v>
      </c>
      <c r="G5" s="21">
        <f t="shared" si="0"/>
        <v>6</v>
      </c>
      <c r="H5" s="21">
        <f t="shared" si="0"/>
        <v>7</v>
      </c>
      <c r="I5" s="21">
        <f t="shared" si="0"/>
        <v>8</v>
      </c>
      <c r="J5" s="22">
        <f t="shared" si="0"/>
        <v>9</v>
      </c>
    </row>
    <row r="6" spans="1:10" ht="22.5" customHeight="1" x14ac:dyDescent="0.3">
      <c r="A6" s="32">
        <v>2</v>
      </c>
      <c r="B6" s="21">
        <f t="shared" ref="B6:B13" si="1">$A6*B$4</f>
        <v>2</v>
      </c>
      <c r="C6" s="21">
        <f t="shared" si="0"/>
        <v>4</v>
      </c>
      <c r="D6" s="21">
        <f t="shared" si="0"/>
        <v>6</v>
      </c>
      <c r="E6" s="21">
        <f t="shared" si="0"/>
        <v>8</v>
      </c>
      <c r="F6" s="21">
        <f t="shared" si="0"/>
        <v>10</v>
      </c>
      <c r="G6" s="21">
        <f t="shared" si="0"/>
        <v>12</v>
      </c>
      <c r="H6" s="21">
        <f t="shared" si="0"/>
        <v>14</v>
      </c>
      <c r="I6" s="21">
        <f t="shared" si="0"/>
        <v>16</v>
      </c>
      <c r="J6" s="22">
        <f t="shared" si="0"/>
        <v>18</v>
      </c>
    </row>
    <row r="7" spans="1:10" ht="22.5" customHeight="1" x14ac:dyDescent="0.3">
      <c r="A7" s="32">
        <v>3</v>
      </c>
      <c r="B7" s="21">
        <f t="shared" si="1"/>
        <v>3</v>
      </c>
      <c r="C7" s="21">
        <f t="shared" si="0"/>
        <v>6</v>
      </c>
      <c r="D7" s="21">
        <f t="shared" si="0"/>
        <v>9</v>
      </c>
      <c r="E7" s="21">
        <f t="shared" si="0"/>
        <v>12</v>
      </c>
      <c r="F7" s="21">
        <f t="shared" si="0"/>
        <v>15</v>
      </c>
      <c r="G7" s="21">
        <f t="shared" si="0"/>
        <v>18</v>
      </c>
      <c r="H7" s="21">
        <f t="shared" si="0"/>
        <v>21</v>
      </c>
      <c r="I7" s="21">
        <f t="shared" si="0"/>
        <v>24</v>
      </c>
      <c r="J7" s="22">
        <f t="shared" si="0"/>
        <v>27</v>
      </c>
    </row>
    <row r="8" spans="1:10" ht="22.5" customHeight="1" x14ac:dyDescent="0.3">
      <c r="A8" s="32">
        <v>4</v>
      </c>
      <c r="B8" s="21">
        <f t="shared" si="1"/>
        <v>4</v>
      </c>
      <c r="C8" s="21">
        <f t="shared" si="0"/>
        <v>8</v>
      </c>
      <c r="D8" s="21">
        <f t="shared" si="0"/>
        <v>12</v>
      </c>
      <c r="E8" s="21">
        <f t="shared" si="0"/>
        <v>16</v>
      </c>
      <c r="F8" s="21">
        <f t="shared" si="0"/>
        <v>20</v>
      </c>
      <c r="G8" s="21">
        <f t="shared" si="0"/>
        <v>24</v>
      </c>
      <c r="H8" s="21">
        <f t="shared" si="0"/>
        <v>28</v>
      </c>
      <c r="I8" s="21">
        <f t="shared" si="0"/>
        <v>32</v>
      </c>
      <c r="J8" s="22">
        <f t="shared" si="0"/>
        <v>36</v>
      </c>
    </row>
    <row r="9" spans="1:10" ht="22.5" customHeight="1" x14ac:dyDescent="0.3">
      <c r="A9" s="32">
        <v>5</v>
      </c>
      <c r="B9" s="21">
        <f t="shared" si="1"/>
        <v>5</v>
      </c>
      <c r="C9" s="21">
        <f t="shared" si="0"/>
        <v>10</v>
      </c>
      <c r="D9" s="21">
        <f t="shared" si="0"/>
        <v>15</v>
      </c>
      <c r="E9" s="21">
        <f t="shared" si="0"/>
        <v>20</v>
      </c>
      <c r="F9" s="21">
        <f t="shared" si="0"/>
        <v>25</v>
      </c>
      <c r="G9" s="21">
        <f t="shared" si="0"/>
        <v>30</v>
      </c>
      <c r="H9" s="21">
        <f t="shared" si="0"/>
        <v>35</v>
      </c>
      <c r="I9" s="21">
        <f t="shared" si="0"/>
        <v>40</v>
      </c>
      <c r="J9" s="22">
        <f t="shared" si="0"/>
        <v>45</v>
      </c>
    </row>
    <row r="10" spans="1:10" ht="22.5" customHeight="1" x14ac:dyDescent="0.3">
      <c r="A10" s="32">
        <v>6</v>
      </c>
      <c r="B10" s="21">
        <f t="shared" si="1"/>
        <v>6</v>
      </c>
      <c r="C10" s="21">
        <f t="shared" si="0"/>
        <v>12</v>
      </c>
      <c r="D10" s="21">
        <f t="shared" si="0"/>
        <v>18</v>
      </c>
      <c r="E10" s="21">
        <f t="shared" si="0"/>
        <v>24</v>
      </c>
      <c r="F10" s="21">
        <f t="shared" si="0"/>
        <v>30</v>
      </c>
      <c r="G10" s="21">
        <f t="shared" si="0"/>
        <v>36</v>
      </c>
      <c r="H10" s="21">
        <f t="shared" si="0"/>
        <v>42</v>
      </c>
      <c r="I10" s="21">
        <f t="shared" si="0"/>
        <v>48</v>
      </c>
      <c r="J10" s="22">
        <f t="shared" si="0"/>
        <v>54</v>
      </c>
    </row>
    <row r="11" spans="1:10" ht="22.5" customHeight="1" x14ac:dyDescent="0.3">
      <c r="A11" s="32">
        <v>7</v>
      </c>
      <c r="B11" s="21">
        <f t="shared" si="1"/>
        <v>7</v>
      </c>
      <c r="C11" s="21">
        <f t="shared" si="0"/>
        <v>14</v>
      </c>
      <c r="D11" s="21">
        <f t="shared" si="0"/>
        <v>21</v>
      </c>
      <c r="E11" s="21">
        <f t="shared" si="0"/>
        <v>28</v>
      </c>
      <c r="F11" s="21">
        <f t="shared" si="0"/>
        <v>35</v>
      </c>
      <c r="G11" s="21">
        <f t="shared" si="0"/>
        <v>42</v>
      </c>
      <c r="H11" s="21">
        <f t="shared" si="0"/>
        <v>49</v>
      </c>
      <c r="I11" s="21">
        <f t="shared" si="0"/>
        <v>56</v>
      </c>
      <c r="J11" s="22">
        <f t="shared" si="0"/>
        <v>63</v>
      </c>
    </row>
    <row r="12" spans="1:10" ht="22.5" customHeight="1" x14ac:dyDescent="0.3">
      <c r="A12" s="32">
        <v>8</v>
      </c>
      <c r="B12" s="21">
        <f t="shared" si="1"/>
        <v>8</v>
      </c>
      <c r="C12" s="21">
        <f t="shared" si="0"/>
        <v>16</v>
      </c>
      <c r="D12" s="21">
        <f t="shared" si="0"/>
        <v>24</v>
      </c>
      <c r="E12" s="21">
        <f t="shared" si="0"/>
        <v>32</v>
      </c>
      <c r="F12" s="21">
        <f t="shared" si="0"/>
        <v>40</v>
      </c>
      <c r="G12" s="21">
        <f t="shared" si="0"/>
        <v>48</v>
      </c>
      <c r="H12" s="21">
        <f t="shared" si="0"/>
        <v>56</v>
      </c>
      <c r="I12" s="21">
        <f t="shared" si="0"/>
        <v>64</v>
      </c>
      <c r="J12" s="22">
        <f t="shared" si="0"/>
        <v>72</v>
      </c>
    </row>
    <row r="13" spans="1:10" ht="22.5" customHeight="1" x14ac:dyDescent="0.3">
      <c r="A13" s="33">
        <v>9</v>
      </c>
      <c r="B13" s="20">
        <f t="shared" si="1"/>
        <v>9</v>
      </c>
      <c r="C13" s="20">
        <f t="shared" si="0"/>
        <v>18</v>
      </c>
      <c r="D13" s="20">
        <f t="shared" si="0"/>
        <v>27</v>
      </c>
      <c r="E13" s="20">
        <f t="shared" si="0"/>
        <v>36</v>
      </c>
      <c r="F13" s="20">
        <f t="shared" si="0"/>
        <v>45</v>
      </c>
      <c r="G13" s="20">
        <f t="shared" si="0"/>
        <v>54</v>
      </c>
      <c r="H13" s="20">
        <f t="shared" si="0"/>
        <v>63</v>
      </c>
      <c r="I13" s="20">
        <f t="shared" si="0"/>
        <v>72</v>
      </c>
      <c r="J13" s="34">
        <f t="shared" si="0"/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formulas</vt:lpstr>
      <vt:lpstr>01formulas_copiar</vt:lpstr>
      <vt:lpstr>02formulas_copiar</vt:lpstr>
      <vt:lpstr>tabuada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Carvalho</dc:creator>
  <cp:lastModifiedBy>Gustavo Sousa</cp:lastModifiedBy>
  <cp:lastPrinted>2024-02-23T11:32:36Z</cp:lastPrinted>
  <dcterms:created xsi:type="dcterms:W3CDTF">2019-03-15T11:23:22Z</dcterms:created>
  <dcterms:modified xsi:type="dcterms:W3CDTF">2024-12-13T12:30:15Z</dcterms:modified>
</cp:coreProperties>
</file>