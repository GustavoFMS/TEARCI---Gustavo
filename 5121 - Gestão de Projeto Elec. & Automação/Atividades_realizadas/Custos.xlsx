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OneDrive\Área de Trabalho\"/>
    </mc:Choice>
  </mc:AlternateContent>
  <xr:revisionPtr revIDLastSave="0" documentId="13_ncr:1_{29304087-B82D-41E9-9AF6-9682DBA1A7AC}" xr6:coauthVersionLast="47" xr6:coauthVersionMax="47" xr10:uidLastSave="{00000000-0000-0000-0000-000000000000}"/>
  <bookViews>
    <workbookView xWindow="-108" yWindow="-108" windowWidth="23256" windowHeight="12456" xr2:uid="{671F0E09-4E31-4998-9D17-F4C5051DF37D}"/>
  </bookViews>
  <sheets>
    <sheet name="Total_Custos_Cliente_CarlosDi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1" l="1"/>
  <c r="B47" i="1" s="1"/>
  <c r="B45" i="1"/>
  <c r="B44" i="1"/>
  <c r="B43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18" i="1"/>
  <c r="D10" i="1"/>
  <c r="F10" i="1" s="1"/>
  <c r="D9" i="1"/>
  <c r="F9" i="1" s="1"/>
  <c r="D8" i="1"/>
  <c r="F8" i="1" s="1"/>
  <c r="D6" i="1"/>
  <c r="F6" i="1" s="1"/>
  <c r="D7" i="1"/>
  <c r="F7" i="1" s="1"/>
  <c r="E39" i="1" l="1"/>
  <c r="F1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67AF2F-0992-46E4-B871-9741DD6CD0BA}" keepAlive="1" name="Consulta - MouserSearchDownload" description="Conexão com a consulta 'MouserSearchDownload' na pasta de trabalho." type="5" refreshedVersion="0" background="1">
    <dbPr connection="Provider=Microsoft.Mashup.OleDb.1;Data Source=$Workbook$;Location=MouserSearchDownload;Extended Properties=&quot;&quot;" command="SELECT * FROM [MouserSearchDownload]"/>
  </connection>
</connections>
</file>

<file path=xl/sharedStrings.xml><?xml version="1.0" encoding="utf-8"?>
<sst xmlns="http://schemas.openxmlformats.org/spreadsheetml/2006/main" count="40" uniqueCount="38">
  <si>
    <t>Orçamento</t>
  </si>
  <si>
    <t>Custo de Mão-de-Obra</t>
  </si>
  <si>
    <t>Horas</t>
  </si>
  <si>
    <t>Minutos</t>
  </si>
  <si>
    <t>Total de Horas-Homem(HH)</t>
  </si>
  <si>
    <t>Custo Padrão</t>
  </si>
  <si>
    <t xml:space="preserve"> Custo Total (MDO)</t>
  </si>
  <si>
    <t>Cliente: Carlos Dias</t>
  </si>
  <si>
    <t>Téc. Especialista</t>
  </si>
  <si>
    <t>Téc. De Eletrônica</t>
  </si>
  <si>
    <t>TOTAL</t>
  </si>
  <si>
    <t>Custo de material / Custos especiais</t>
  </si>
  <si>
    <t>Ref.</t>
  </si>
  <si>
    <t>Designação</t>
  </si>
  <si>
    <t>Preço Unitário</t>
  </si>
  <si>
    <t>Quantidade</t>
  </si>
  <si>
    <t>Custo Total</t>
  </si>
  <si>
    <t>SA400S37/120G</t>
  </si>
  <si>
    <t>Kingston A400 SSD</t>
  </si>
  <si>
    <t>551406-7</t>
  </si>
  <si>
    <t>Atuadores e solenoides REPLACEMENT SOLENOID ASSY</t>
  </si>
  <si>
    <t>Controladores PLC Controllino MEGA Power 12Vdc to 24VdcEthernet , RS485Inputs (21 IN):16x Analog (0-10Vdc) / digital (24Vdc), 5x Digital Input / interrupt.Outputs (40 Out):16x Relay , , 24x Digital</t>
  </si>
  <si>
    <t>100-200-00</t>
  </si>
  <si>
    <t>SC1174</t>
  </si>
  <si>
    <t>Câmeras e módulos de câmeras 12MP Sony IMX500 Intelligent Vision Sensor 76-degree</t>
  </si>
  <si>
    <t>Fontes de alimentação comutadas AC-DC power supply 30VDC 14.0A</t>
  </si>
  <si>
    <t>CCR420PS30</t>
  </si>
  <si>
    <t>Sensores de Temperatura Industriais ESD improved 100 Ohm RTD, 1.6 x 1.2 mm, -200 C to +600 C, IEC 60751 F0.15 , 10 mm wires</t>
  </si>
  <si>
    <t>P0K1.161.6W.A.010-154366</t>
  </si>
  <si>
    <t>Porta-fusíveis 32V 400A Bolt-Down IP69K Sealed Porta-fusíveis</t>
  </si>
  <si>
    <t>FHZS200</t>
  </si>
  <si>
    <t>Contatores - Eletromecânicos HVC43 / 250A / 1000Vdc /24V coil / Mechanical Aux NC</t>
  </si>
  <si>
    <t>B88269X7340C011</t>
  </si>
  <si>
    <t>Cabos Ethernet / Cabos de rede ix Type A OM Profinet B PVC 2.0m</t>
  </si>
  <si>
    <t>Margem de Lucro</t>
  </si>
  <si>
    <t>Custo Total (S/Iva)</t>
  </si>
  <si>
    <t>Iva (23%)</t>
  </si>
  <si>
    <t>Preço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</si>
</sst>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€-2]\ * #,##0.00_-;\-[$€-2]\ * #,##0.00_-;_-[$€-2]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0" fillId="2" borderId="0" xfId="0" applyFill="1"/>
    <xf numFmtId="0" fontId="0" fillId="2" borderId="1" xfId="0" applyFill="1" applyBorder="1"/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164" fontId="0" fillId="2" borderId="1" xfId="0" applyNumberFormat="1" applyFill="1" applyBorder="1"/>
    <xf numFmtId="2" fontId="0" fillId="2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2" fillId="2" borderId="4" xfId="0" applyFont="1" applyFill="1" applyBorder="1" applyAlignment="1">
      <alignment horizontal="right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64" fontId="0" fillId="2" borderId="1" xfId="1" applyNumberFormat="1" applyFont="1" applyFill="1" applyBorder="1" applyAlignment="1">
      <alignment horizontal="center" vertical="center"/>
    </xf>
    <xf numFmtId="164" fontId="0" fillId="2" borderId="1" xfId="0" applyNumberFormat="1" applyFill="1" applyBorder="1" applyAlignment="1">
      <alignment vertical="center"/>
    </xf>
    <xf numFmtId="164" fontId="0" fillId="2" borderId="1" xfId="0" applyNumberFormat="1" applyFill="1" applyBorder="1" applyAlignment="1">
      <alignment horizontal="center" vertical="center"/>
    </xf>
    <xf numFmtId="164" fontId="0" fillId="4" borderId="1" xfId="1" applyNumberFormat="1" applyFont="1" applyFill="1" applyBorder="1"/>
    <xf numFmtId="164" fontId="0" fillId="4" borderId="1" xfId="0" applyNumberFormat="1" applyFill="1" applyBorder="1"/>
    <xf numFmtId="0" fontId="4" fillId="0" borderId="0" xfId="2" applyFont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/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t.mouser.com/ProductDetail/Littelfuse/FHZS200?qs=sGAEpiMZZMsGx6xItMI%252BGL3Lyk6HZqyYI7NoR2TZDbY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D5D8-EE0B-4B61-8A2E-0C26C6158175}">
  <dimension ref="A1:F47"/>
  <sheetViews>
    <sheetView tabSelected="1" workbookViewId="0">
      <selection activeCell="D40" sqref="D40"/>
    </sheetView>
  </sheetViews>
  <sheetFormatPr defaultRowHeight="14.4" x14ac:dyDescent="0.3"/>
  <cols>
    <col min="1" max="1" width="30.44140625" style="1" bestFit="1" customWidth="1"/>
    <col min="2" max="2" width="46.33203125" style="1" bestFit="1" customWidth="1"/>
    <col min="3" max="3" width="12.44140625" style="1" bestFit="1" customWidth="1"/>
    <col min="4" max="4" width="25.109375" style="1" customWidth="1"/>
    <col min="5" max="5" width="14.21875" style="1" customWidth="1"/>
    <col min="6" max="6" width="18" style="1" customWidth="1"/>
    <col min="7" max="16384" width="8.88671875" style="1"/>
  </cols>
  <sheetData>
    <row r="1" spans="1:6" x14ac:dyDescent="0.3">
      <c r="A1" s="1" t="s">
        <v>0</v>
      </c>
    </row>
    <row r="2" spans="1:6" x14ac:dyDescent="0.3">
      <c r="A2" s="1" t="s">
        <v>7</v>
      </c>
    </row>
    <row r="3" spans="1:6" x14ac:dyDescent="0.3">
      <c r="A3" s="1" t="s">
        <v>1</v>
      </c>
    </row>
    <row r="5" spans="1:6" ht="40.799999999999997" customHeight="1" x14ac:dyDescent="0.3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1:6" ht="33.6" customHeight="1" x14ac:dyDescent="0.3">
      <c r="A6" s="4" t="s">
        <v>8</v>
      </c>
      <c r="B6" s="2">
        <v>12</v>
      </c>
      <c r="C6" s="2">
        <v>13</v>
      </c>
      <c r="D6" s="6">
        <f>B6 + (C6/60)</f>
        <v>12.216666666666667</v>
      </c>
      <c r="E6" s="5">
        <v>25</v>
      </c>
      <c r="F6" s="5">
        <f>E6*D6</f>
        <v>305.41666666666669</v>
      </c>
    </row>
    <row r="7" spans="1:6" ht="33.6" customHeight="1" x14ac:dyDescent="0.3">
      <c r="A7" s="4" t="s">
        <v>9</v>
      </c>
      <c r="B7" s="2">
        <v>7</v>
      </c>
      <c r="C7" s="2">
        <v>0</v>
      </c>
      <c r="D7" s="2">
        <f>B7 + (C7/60)</f>
        <v>7</v>
      </c>
      <c r="E7" s="5">
        <v>20</v>
      </c>
      <c r="F7" s="5">
        <f>E7*D7</f>
        <v>140</v>
      </c>
    </row>
    <row r="8" spans="1:6" ht="33.6" customHeight="1" x14ac:dyDescent="0.3">
      <c r="A8" s="4"/>
      <c r="B8" s="2"/>
      <c r="C8" s="2"/>
      <c r="D8" s="2">
        <f>B8 + (C8/60)</f>
        <v>0</v>
      </c>
      <c r="E8" s="5"/>
      <c r="F8" s="5">
        <f>E8*D8</f>
        <v>0</v>
      </c>
    </row>
    <row r="9" spans="1:6" ht="33.6" customHeight="1" x14ac:dyDescent="0.3">
      <c r="A9" s="4"/>
      <c r="B9" s="2"/>
      <c r="C9" s="2"/>
      <c r="D9" s="2">
        <f>B9 + (C9/60)</f>
        <v>0</v>
      </c>
      <c r="E9" s="5"/>
      <c r="F9" s="5">
        <f>E9*D9</f>
        <v>0</v>
      </c>
    </row>
    <row r="10" spans="1:6" ht="33.6" customHeight="1" x14ac:dyDescent="0.3">
      <c r="A10" s="4"/>
      <c r="B10" s="2"/>
      <c r="C10" s="2"/>
      <c r="D10" s="2">
        <f>B10 + (C10/60)</f>
        <v>0</v>
      </c>
      <c r="E10" s="5"/>
      <c r="F10" s="5">
        <f>E10*D10</f>
        <v>0</v>
      </c>
    </row>
    <row r="11" spans="1:6" ht="37.200000000000003" customHeight="1" x14ac:dyDescent="0.3">
      <c r="A11" s="7"/>
      <c r="B11" s="8"/>
      <c r="C11" s="8"/>
      <c r="D11" s="8"/>
      <c r="E11" s="9" t="s">
        <v>10</v>
      </c>
      <c r="F11" s="16">
        <f>SUM(F6:F7)</f>
        <v>445.41666666666669</v>
      </c>
    </row>
    <row r="14" spans="1:6" x14ac:dyDescent="0.3">
      <c r="A14" s="1" t="s">
        <v>11</v>
      </c>
    </row>
    <row r="17" spans="1:5" x14ac:dyDescent="0.3">
      <c r="A17" s="10" t="s">
        <v>12</v>
      </c>
      <c r="B17" s="10" t="s">
        <v>13</v>
      </c>
      <c r="C17" s="10" t="s">
        <v>14</v>
      </c>
      <c r="D17" s="10" t="s">
        <v>15</v>
      </c>
      <c r="E17" s="10" t="s">
        <v>16</v>
      </c>
    </row>
    <row r="18" spans="1:5" x14ac:dyDescent="0.3">
      <c r="A18" s="11" t="s">
        <v>17</v>
      </c>
      <c r="B18" s="11" t="s">
        <v>18</v>
      </c>
      <c r="C18" s="13">
        <v>22.86</v>
      </c>
      <c r="D18" s="11">
        <v>3</v>
      </c>
      <c r="E18" s="14">
        <f>C18*D18</f>
        <v>68.58</v>
      </c>
    </row>
    <row r="19" spans="1:5" x14ac:dyDescent="0.3">
      <c r="A19" s="11" t="s">
        <v>19</v>
      </c>
      <c r="B19" s="11" t="s">
        <v>20</v>
      </c>
      <c r="C19" s="13">
        <v>558.05999999999995</v>
      </c>
      <c r="D19" s="11">
        <v>1</v>
      </c>
      <c r="E19" s="15">
        <f t="shared" ref="E19:E38" si="0">C19*D19</f>
        <v>558.05999999999995</v>
      </c>
    </row>
    <row r="20" spans="1:5" ht="57.6" x14ac:dyDescent="0.3">
      <c r="A20" s="11" t="s">
        <v>22</v>
      </c>
      <c r="B20" s="12" t="s">
        <v>21</v>
      </c>
      <c r="C20" s="13">
        <v>435.58</v>
      </c>
      <c r="D20" s="11">
        <v>1</v>
      </c>
      <c r="E20" s="15">
        <f t="shared" si="0"/>
        <v>435.58</v>
      </c>
    </row>
    <row r="21" spans="1:5" ht="28.8" x14ac:dyDescent="0.3">
      <c r="A21" s="11" t="s">
        <v>23</v>
      </c>
      <c r="B21" s="12" t="s">
        <v>24</v>
      </c>
      <c r="C21" s="15">
        <v>66.5</v>
      </c>
      <c r="D21" s="11">
        <v>1</v>
      </c>
      <c r="E21" s="15">
        <f>C21*D21</f>
        <v>66.5</v>
      </c>
    </row>
    <row r="22" spans="1:5" ht="28.8" x14ac:dyDescent="0.3">
      <c r="A22" s="11" t="s">
        <v>26</v>
      </c>
      <c r="B22" s="12" t="s">
        <v>25</v>
      </c>
      <c r="C22" s="13">
        <v>160.55000000000001</v>
      </c>
      <c r="D22" s="11">
        <v>1</v>
      </c>
      <c r="E22" s="15">
        <f t="shared" si="0"/>
        <v>160.55000000000001</v>
      </c>
    </row>
    <row r="23" spans="1:5" ht="43.2" x14ac:dyDescent="0.3">
      <c r="A23" s="11" t="s">
        <v>28</v>
      </c>
      <c r="B23" s="12" t="s">
        <v>27</v>
      </c>
      <c r="C23" s="13">
        <v>6.35</v>
      </c>
      <c r="D23" s="11">
        <v>1</v>
      </c>
      <c r="E23" s="15">
        <f t="shared" si="0"/>
        <v>6.35</v>
      </c>
    </row>
    <row r="24" spans="1:5" ht="28.8" x14ac:dyDescent="0.3">
      <c r="A24" s="18" t="s">
        <v>30</v>
      </c>
      <c r="B24" s="12" t="s">
        <v>29</v>
      </c>
      <c r="C24" s="13">
        <v>127.93</v>
      </c>
      <c r="D24" s="11">
        <v>1</v>
      </c>
      <c r="E24" s="15">
        <f t="shared" si="0"/>
        <v>127.93</v>
      </c>
    </row>
    <row r="25" spans="1:5" ht="28.8" x14ac:dyDescent="0.3">
      <c r="A25" s="11" t="s">
        <v>32</v>
      </c>
      <c r="B25" s="12" t="s">
        <v>31</v>
      </c>
      <c r="C25" s="13">
        <v>99.77</v>
      </c>
      <c r="D25" s="11">
        <v>1</v>
      </c>
      <c r="E25" s="15">
        <f t="shared" si="0"/>
        <v>99.77</v>
      </c>
    </row>
    <row r="26" spans="1:5" ht="28.8" x14ac:dyDescent="0.3">
      <c r="A26" s="19">
        <v>33483131409020</v>
      </c>
      <c r="B26" s="12" t="s">
        <v>33</v>
      </c>
      <c r="C26" s="13">
        <v>32.619999999999997</v>
      </c>
      <c r="D26" s="11">
        <v>1</v>
      </c>
      <c r="E26" s="15">
        <f t="shared" si="0"/>
        <v>32.619999999999997</v>
      </c>
    </row>
    <row r="27" spans="1:5" x14ac:dyDescent="0.3">
      <c r="A27" s="11"/>
      <c r="B27" s="11"/>
      <c r="C27" s="13"/>
      <c r="D27" s="11"/>
      <c r="E27" s="15">
        <f t="shared" si="0"/>
        <v>0</v>
      </c>
    </row>
    <row r="28" spans="1:5" x14ac:dyDescent="0.3">
      <c r="A28" s="11"/>
      <c r="B28" s="11"/>
      <c r="C28" s="13"/>
      <c r="D28" s="11"/>
      <c r="E28" s="15">
        <f t="shared" si="0"/>
        <v>0</v>
      </c>
    </row>
    <row r="29" spans="1:5" x14ac:dyDescent="0.3">
      <c r="A29" s="11"/>
      <c r="B29" s="11"/>
      <c r="C29" s="13"/>
      <c r="D29" s="11"/>
      <c r="E29" s="15">
        <f t="shared" si="0"/>
        <v>0</v>
      </c>
    </row>
    <row r="30" spans="1:5" x14ac:dyDescent="0.3">
      <c r="A30" s="11"/>
      <c r="B30" s="11"/>
      <c r="C30" s="13"/>
      <c r="D30" s="11"/>
      <c r="E30" s="15">
        <f t="shared" si="0"/>
        <v>0</v>
      </c>
    </row>
    <row r="31" spans="1:5" x14ac:dyDescent="0.3">
      <c r="A31" s="11"/>
      <c r="B31" s="11"/>
      <c r="C31" s="13"/>
      <c r="D31" s="11"/>
      <c r="E31" s="15">
        <f t="shared" si="0"/>
        <v>0</v>
      </c>
    </row>
    <row r="32" spans="1:5" x14ac:dyDescent="0.3">
      <c r="A32" s="11"/>
      <c r="B32" s="11"/>
      <c r="C32" s="13"/>
      <c r="D32" s="11"/>
      <c r="E32" s="15">
        <f t="shared" si="0"/>
        <v>0</v>
      </c>
    </row>
    <row r="33" spans="1:5" x14ac:dyDescent="0.3">
      <c r="A33" s="11"/>
      <c r="B33" s="11"/>
      <c r="C33" s="13"/>
      <c r="D33" s="11"/>
      <c r="E33" s="15">
        <f t="shared" si="0"/>
        <v>0</v>
      </c>
    </row>
    <row r="34" spans="1:5" x14ac:dyDescent="0.3">
      <c r="A34" s="11"/>
      <c r="B34" s="11"/>
      <c r="C34" s="13"/>
      <c r="D34" s="11"/>
      <c r="E34" s="15">
        <f t="shared" si="0"/>
        <v>0</v>
      </c>
    </row>
    <row r="35" spans="1:5" x14ac:dyDescent="0.3">
      <c r="A35" s="11"/>
      <c r="B35" s="11"/>
      <c r="C35" s="13"/>
      <c r="D35" s="11"/>
      <c r="E35" s="15">
        <f t="shared" si="0"/>
        <v>0</v>
      </c>
    </row>
    <row r="36" spans="1:5" x14ac:dyDescent="0.3">
      <c r="A36" s="11"/>
      <c r="B36" s="11"/>
      <c r="C36" s="13"/>
      <c r="D36" s="11"/>
      <c r="E36" s="15">
        <f t="shared" si="0"/>
        <v>0</v>
      </c>
    </row>
    <row r="37" spans="1:5" x14ac:dyDescent="0.3">
      <c r="A37" s="11"/>
      <c r="B37" s="11"/>
      <c r="C37" s="13"/>
      <c r="D37" s="11"/>
      <c r="E37" s="15">
        <f t="shared" si="0"/>
        <v>0</v>
      </c>
    </row>
    <row r="38" spans="1:5" x14ac:dyDescent="0.3">
      <c r="A38" s="11"/>
      <c r="B38" s="11"/>
      <c r="C38" s="13"/>
      <c r="D38" s="11"/>
      <c r="E38" s="15">
        <f t="shared" si="0"/>
        <v>0</v>
      </c>
    </row>
    <row r="39" spans="1:5" x14ac:dyDescent="0.3">
      <c r="D39" s="4" t="s">
        <v>10</v>
      </c>
      <c r="E39" s="17">
        <f>SUM(E18:E38)</f>
        <v>1555.9399999999998</v>
      </c>
    </row>
    <row r="43" spans="1:5" x14ac:dyDescent="0.3">
      <c r="A43" s="2" t="s">
        <v>16</v>
      </c>
      <c r="B43" s="5">
        <f>E39+F11</f>
        <v>2001.3566666666666</v>
      </c>
    </row>
    <row r="44" spans="1:5" x14ac:dyDescent="0.3">
      <c r="A44" s="2" t="s">
        <v>34</v>
      </c>
      <c r="B44" s="5">
        <f>B43*40/100</f>
        <v>800.54266666666661</v>
      </c>
    </row>
    <row r="45" spans="1:5" x14ac:dyDescent="0.3">
      <c r="A45" s="2" t="s">
        <v>35</v>
      </c>
      <c r="B45" s="5">
        <f>B43+B44</f>
        <v>2801.8993333333333</v>
      </c>
    </row>
    <row r="46" spans="1:5" x14ac:dyDescent="0.3">
      <c r="A46" s="2" t="s">
        <v>36</v>
      </c>
      <c r="B46" s="5">
        <f>B45*23/100</f>
        <v>644.43684666666672</v>
      </c>
    </row>
    <row r="47" spans="1:5" x14ac:dyDescent="0.3">
      <c r="A47" s="2" t="s">
        <v>37</v>
      </c>
      <c r="B47" s="20">
        <f>B45+B46</f>
        <v>3446.3361800000002</v>
      </c>
    </row>
  </sheetData>
  <hyperlinks>
    <hyperlink ref="A24" r:id="rId1" display="https://pt.mouser.com/ProductDetail/Littelfuse/FHZS200?qs=sGAEpiMZZMsGx6xItMI%252BGL3Lyk6HZqyYI7NoR2TZDbY%3D" xr:uid="{5EC63C57-64BA-49BD-80E4-7F03AF750420}"/>
  </hyperlink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C3A3C4-2D3B-4B80-9B5A-6167F31C87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Total_Custos_Cliente_CarlosDias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Sousa</dc:creator>
  <cp:lastModifiedBy>Gustavo Sousa</cp:lastModifiedBy>
  <dcterms:created xsi:type="dcterms:W3CDTF">2025-03-12T15:56:53Z</dcterms:created>
  <dcterms:modified xsi:type="dcterms:W3CDTF">2025-03-18T16:21:51Z</dcterms:modified>
</cp:coreProperties>
</file>